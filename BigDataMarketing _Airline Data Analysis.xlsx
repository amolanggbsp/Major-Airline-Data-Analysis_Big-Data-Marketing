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codeName="현재_통합_문서" defaultThemeVersion="166925"/>
  <mc:AlternateContent xmlns:mc="http://schemas.openxmlformats.org/markup-compatibility/2006">
    <mc:Choice Requires="x15">
      <x15ac:absPath xmlns:x15ac="http://schemas.microsoft.com/office/spreadsheetml/2010/11/ac" url="C:\Users\ATIV\Desktop\2019-1\"/>
    </mc:Choice>
  </mc:AlternateContent>
  <xr:revisionPtr revIDLastSave="0" documentId="13_ncr:1_{0DFC8B24-4199-4AF3-A50F-04CA497B11BA}" xr6:coauthVersionLast="43" xr6:coauthVersionMax="43" xr10:uidLastSave="{00000000-0000-0000-0000-000000000000}"/>
  <bookViews>
    <workbookView xWindow="-110" yWindow="-110" windowWidth="19420" windowHeight="10420" firstSheet="9" activeTab="12" xr2:uid="{FD0BCB2E-21F7-4F36-896E-3936D5F7DB37}"/>
  </bookViews>
  <sheets>
    <sheet name="프로젝트 정의 및 설명" sheetId="1" r:id="rId1"/>
    <sheet name="MAIN crawling code" sheetId="3" r:id="rId2"/>
    <sheet name="Naver_crawling code" sheetId="4" r:id="rId3"/>
    <sheet name="Youtube_crawling code" sheetId="5" r:id="rId4"/>
    <sheet name="Twitter_crawling code" sheetId="6" r:id="rId5"/>
    <sheet name="SPAM_DATA" sheetId="2" r:id="rId6"/>
    <sheet name="Filtering_SPAM" sheetId="7" r:id="rId7"/>
    <sheet name="Filtering_특정단어추출(and)" sheetId="8" r:id="rId8"/>
    <sheet name="Filtering_특정단어추출(or)" sheetId="9" r:id="rId9"/>
    <sheet name="input output csv files" sheetId="12" r:id="rId10"/>
    <sheet name="빈도분석 결과 " sheetId="15" r:id="rId11"/>
    <sheet name="빈도분석결과_매크로포함" sheetId="16" r:id="rId12"/>
    <sheet name="결과분석" sheetId="17"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73" i="16" l="1"/>
  <c r="D72" i="16"/>
  <c r="D71" i="16"/>
  <c r="D70" i="16"/>
  <c r="O54" i="16"/>
  <c r="L54" i="16"/>
  <c r="F54" i="16"/>
  <c r="C54" i="16"/>
  <c r="C51" i="16"/>
  <c r="D47" i="16" s="1"/>
  <c r="F28" i="16"/>
  <c r="O21" i="16"/>
  <c r="F16" i="16"/>
  <c r="L15" i="16"/>
  <c r="I14" i="16"/>
  <c r="L13" i="16"/>
  <c r="O12" i="16"/>
  <c r="F11" i="16"/>
  <c r="O9" i="16"/>
  <c r="I9" i="16"/>
  <c r="O8" i="16"/>
  <c r="L8" i="16"/>
  <c r="I8" i="16"/>
  <c r="O7" i="16"/>
  <c r="L7" i="16"/>
  <c r="I7" i="16"/>
  <c r="F7" i="16"/>
  <c r="P54" i="15"/>
  <c r="O54" i="15"/>
  <c r="M54" i="15"/>
  <c r="L54" i="15"/>
  <c r="J54" i="15"/>
  <c r="I54" i="15"/>
  <c r="G54" i="15"/>
  <c r="F54" i="15"/>
  <c r="D54" i="15"/>
  <c r="C54"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7" i="15"/>
  <c r="J11" i="15"/>
  <c r="J12" i="15"/>
  <c r="J15" i="15"/>
  <c r="J16" i="15"/>
  <c r="J19" i="15"/>
  <c r="J20" i="15"/>
  <c r="J23" i="15"/>
  <c r="J24" i="15"/>
  <c r="J27" i="15"/>
  <c r="J28" i="15"/>
  <c r="J31" i="15"/>
  <c r="J32" i="15"/>
  <c r="J35" i="15"/>
  <c r="J36" i="15"/>
  <c r="J39" i="15"/>
  <c r="J40" i="15"/>
  <c r="J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7" i="15"/>
  <c r="O51" i="15"/>
  <c r="L51" i="15"/>
  <c r="I51" i="15"/>
  <c r="J8" i="15" s="1"/>
  <c r="F51" i="15"/>
  <c r="C51" i="15"/>
  <c r="F28" i="15"/>
  <c r="O21" i="15"/>
  <c r="F16" i="15"/>
  <c r="L15" i="15"/>
  <c r="I14" i="15"/>
  <c r="L13" i="15"/>
  <c r="O12" i="15"/>
  <c r="F11" i="15"/>
  <c r="O9" i="15"/>
  <c r="I9" i="15"/>
  <c r="O8" i="15"/>
  <c r="L8" i="15"/>
  <c r="I8" i="15"/>
  <c r="O7" i="15"/>
  <c r="L7" i="15"/>
  <c r="I7" i="15"/>
  <c r="F7" i="15"/>
  <c r="D15" i="16" l="1"/>
  <c r="D25" i="16"/>
  <c r="D11" i="16"/>
  <c r="D13" i="16"/>
  <c r="D21" i="16"/>
  <c r="D28" i="16"/>
  <c r="D35" i="16"/>
  <c r="D43" i="16"/>
  <c r="D12" i="16"/>
  <c r="D17" i="16"/>
  <c r="D24" i="16"/>
  <c r="D31" i="16"/>
  <c r="D39" i="16"/>
  <c r="D18" i="16"/>
  <c r="D32" i="16"/>
  <c r="D40" i="16"/>
  <c r="D8" i="16"/>
  <c r="D9" i="16"/>
  <c r="D36" i="16"/>
  <c r="D46" i="16"/>
  <c r="I51" i="16"/>
  <c r="J14" i="16" s="1"/>
  <c r="F51" i="16"/>
  <c r="L51" i="16"/>
  <c r="M8" i="16" s="1"/>
  <c r="O51" i="16"/>
  <c r="I54" i="16"/>
  <c r="D54" i="16"/>
  <c r="D49" i="16"/>
  <c r="D45" i="16"/>
  <c r="D41" i="16"/>
  <c r="D37" i="16"/>
  <c r="D30" i="16"/>
  <c r="D64" i="16" s="1"/>
  <c r="D27" i="16"/>
  <c r="D23" i="16"/>
  <c r="D20" i="16"/>
  <c r="D10" i="16"/>
  <c r="D7" i="16"/>
  <c r="D48" i="16"/>
  <c r="D44" i="16"/>
  <c r="D42" i="16"/>
  <c r="D38" i="16"/>
  <c r="D34" i="16"/>
  <c r="D33" i="16"/>
  <c r="D29" i="16"/>
  <c r="D26" i="16"/>
  <c r="D58" i="16" s="1"/>
  <c r="D22" i="16"/>
  <c r="D19" i="16"/>
  <c r="D16" i="16"/>
  <c r="D14" i="16"/>
  <c r="J42" i="15"/>
  <c r="J38" i="15"/>
  <c r="J34" i="15"/>
  <c r="J30" i="15"/>
  <c r="J26" i="15"/>
  <c r="J22" i="15"/>
  <c r="J18" i="15"/>
  <c r="J14" i="15"/>
  <c r="J10" i="15"/>
  <c r="J41" i="15"/>
  <c r="J37" i="15"/>
  <c r="J33" i="15"/>
  <c r="J29" i="15"/>
  <c r="J25" i="15"/>
  <c r="J21" i="15"/>
  <c r="J17" i="15"/>
  <c r="J13" i="15"/>
  <c r="J9" i="15"/>
  <c r="M7" i="16" l="1"/>
  <c r="D67" i="16" s="1"/>
  <c r="J54" i="16"/>
  <c r="G42" i="16"/>
  <c r="G38" i="16"/>
  <c r="D65" i="16" s="1"/>
  <c r="G34" i="16"/>
  <c r="G33" i="16"/>
  <c r="G29" i="16"/>
  <c r="G26" i="16"/>
  <c r="G22" i="16"/>
  <c r="G19" i="16"/>
  <c r="G14" i="16"/>
  <c r="G12" i="16"/>
  <c r="G39" i="16"/>
  <c r="G35" i="16"/>
  <c r="G32" i="16"/>
  <c r="G25" i="16"/>
  <c r="G18" i="16"/>
  <c r="G36" i="16"/>
  <c r="G24" i="16"/>
  <c r="G21" i="16"/>
  <c r="G41" i="16"/>
  <c r="G30" i="16"/>
  <c r="G27" i="16"/>
  <c r="G16" i="16"/>
  <c r="G13" i="16"/>
  <c r="G8" i="16"/>
  <c r="G54" i="16"/>
  <c r="G40" i="16"/>
  <c r="G31" i="16"/>
  <c r="G17" i="16"/>
  <c r="G15" i="16"/>
  <c r="G10" i="16"/>
  <c r="G37" i="16"/>
  <c r="G23" i="16"/>
  <c r="G20" i="16"/>
  <c r="G9" i="16"/>
  <c r="D59" i="16" s="1"/>
  <c r="G7" i="16"/>
  <c r="J7" i="16"/>
  <c r="D60" i="16" s="1"/>
  <c r="J39" i="16"/>
  <c r="J35" i="16"/>
  <c r="J32" i="16"/>
  <c r="J28" i="16"/>
  <c r="J25" i="16"/>
  <c r="J18" i="16"/>
  <c r="J11" i="16"/>
  <c r="J40" i="16"/>
  <c r="J36" i="16"/>
  <c r="J31" i="16"/>
  <c r="J24" i="16"/>
  <c r="J21" i="16"/>
  <c r="J17" i="16"/>
  <c r="J15" i="16"/>
  <c r="J13" i="16"/>
  <c r="J41" i="16"/>
  <c r="J30" i="16"/>
  <c r="J27" i="16"/>
  <c r="J16" i="16"/>
  <c r="J38" i="16"/>
  <c r="J33" i="16"/>
  <c r="J22" i="16"/>
  <c r="D66" i="16" s="1"/>
  <c r="J19" i="16"/>
  <c r="J12" i="16"/>
  <c r="J10" i="16"/>
  <c r="J37" i="16"/>
  <c r="J23" i="16"/>
  <c r="J20" i="16"/>
  <c r="J42" i="16"/>
  <c r="J34" i="16"/>
  <c r="J29" i="16"/>
  <c r="J26" i="16"/>
  <c r="P30" i="16"/>
  <c r="P27" i="16"/>
  <c r="P23" i="16"/>
  <c r="P20" i="16"/>
  <c r="P16" i="16"/>
  <c r="P14" i="16"/>
  <c r="P10" i="16"/>
  <c r="P29" i="16"/>
  <c r="P26" i="16"/>
  <c r="P22" i="16"/>
  <c r="P19" i="16"/>
  <c r="P33" i="16"/>
  <c r="P28" i="16"/>
  <c r="P25" i="16"/>
  <c r="P31" i="16"/>
  <c r="P54" i="16" s="1"/>
  <c r="P17" i="16"/>
  <c r="P32" i="16"/>
  <c r="P18" i="16"/>
  <c r="P13" i="16"/>
  <c r="P24" i="16"/>
  <c r="P15" i="16"/>
  <c r="P11" i="16"/>
  <c r="P9" i="16"/>
  <c r="G28" i="16"/>
  <c r="P12" i="16"/>
  <c r="P21" i="16"/>
  <c r="M31" i="16"/>
  <c r="M24" i="16"/>
  <c r="M21" i="16"/>
  <c r="M17" i="16"/>
  <c r="M30" i="16"/>
  <c r="M27" i="16"/>
  <c r="M23" i="16"/>
  <c r="M20" i="16"/>
  <c r="M16" i="16"/>
  <c r="M14" i="16"/>
  <c r="M22" i="16"/>
  <c r="M19" i="16"/>
  <c r="M15" i="16"/>
  <c r="M12" i="16"/>
  <c r="M11" i="16"/>
  <c r="M10" i="16"/>
  <c r="M28" i="16"/>
  <c r="M54" i="16" s="1"/>
  <c r="M25" i="16"/>
  <c r="M9" i="16"/>
  <c r="M29" i="16"/>
  <c r="M26" i="16"/>
  <c r="M32" i="16"/>
  <c r="D61" i="16" s="1"/>
  <c r="M18" i="16"/>
  <c r="M13" i="16"/>
  <c r="J8" i="16"/>
  <c r="P8" i="16"/>
  <c r="J9" i="16"/>
  <c r="P7" i="16"/>
  <c r="G11" i="16"/>
</calcChain>
</file>

<file path=xl/sharedStrings.xml><?xml version="1.0" encoding="utf-8"?>
<sst xmlns="http://schemas.openxmlformats.org/spreadsheetml/2006/main" count="1137" uniqueCount="627">
  <si>
    <t>빅데이터마케팅 중간과제 _  데이터 크롤링 및 필터링</t>
  </si>
  <si>
    <t xml:space="preserve">1단계 </t>
  </si>
  <si>
    <t>단계</t>
  </si>
  <si>
    <t xml:space="preserve">목적 </t>
  </si>
  <si>
    <t>Output File</t>
  </si>
  <si>
    <t>코드 특이사항</t>
  </si>
  <si>
    <t xml:space="preserve">작동 시 유의사항 </t>
  </si>
  <si>
    <t>Language</t>
  </si>
  <si>
    <t xml:space="preserve">Python </t>
  </si>
  <si>
    <t>SNS type</t>
  </si>
  <si>
    <t>Youtube</t>
  </si>
  <si>
    <t>Naver Blog</t>
  </si>
  <si>
    <t>Twitter</t>
  </si>
  <si>
    <t>Essential Module</t>
  </si>
  <si>
    <t>sys</t>
  </si>
  <si>
    <t>urllib</t>
  </si>
  <si>
    <t>time</t>
  </si>
  <si>
    <t>pandas</t>
  </si>
  <si>
    <t>re</t>
  </si>
  <si>
    <t>bs4(beautifulsoup)</t>
  </si>
  <si>
    <t>selenium</t>
  </si>
  <si>
    <t>2019.05.07</t>
  </si>
  <si>
    <t>Base Code</t>
  </si>
  <si>
    <t>Inside Function</t>
  </si>
  <si>
    <t>Data Crawling</t>
  </si>
  <si>
    <t>1. 크롤링 함수 종합하기</t>
  </si>
  <si>
    <t>main.py</t>
  </si>
  <si>
    <t>menu()</t>
  </si>
  <si>
    <t>main()</t>
  </si>
  <si>
    <t>각 함수 역할</t>
  </si>
  <si>
    <t>youtube_crawler
twitter_crawler
naver_crawler</t>
  </si>
  <si>
    <t>button_num 1 = Naver Blog
button_num 2 = Youtube
button_num 3 = Twitter</t>
  </si>
  <si>
    <t>Naver, Twitter, Youtube 중 원하는 SNS 버튼으로 선택하여 크롤링</t>
  </si>
  <si>
    <t xml:space="preserve">2. Naver Blog Crawling </t>
  </si>
  <si>
    <t xml:space="preserve">naver crawler.py </t>
  </si>
  <si>
    <t>crawling()</t>
  </si>
  <si>
    <t>input: page_num, keyword</t>
  </si>
  <si>
    <t>Input File/ connected py/ Input</t>
  </si>
  <si>
    <t>naver_comment.csv</t>
  </si>
  <si>
    <t>NAVER_URL = 'https://section.blog.naver.com/Search/Post.nhn?pageNo=%%PAGE_NUM%%&amp;rangeType=ALL&amp;orderBy=sim&amp;keyword='</t>
  </si>
  <si>
    <t>3. Youtube Comment Crawling</t>
  </si>
  <si>
    <t>chrome driver directory check</t>
  </si>
  <si>
    <t>youtube_crawler.py</t>
  </si>
  <si>
    <t>video_url_crawling()</t>
  </si>
  <si>
    <t>video_comment_crawling()</t>
  </si>
  <si>
    <t>youtube_comment.csv</t>
  </si>
  <si>
    <t xml:space="preserve">input: keyword </t>
  </si>
  <si>
    <t>YOUTUBE_URL = 'https://www.youtube.com/results?search_query='</t>
  </si>
  <si>
    <t xml:space="preserve">**코드 scroll 끝까지 내려서 전체 추출 </t>
  </si>
  <si>
    <t>youtube_url_collection.csv</t>
  </si>
  <si>
    <t xml:space="preserve">전단계 url 받아서 작업
**코드 scroll 끝까지 내려서 전체 추출 </t>
  </si>
  <si>
    <t xml:space="preserve">4. Twitter Crawling </t>
  </si>
  <si>
    <t xml:space="preserve">twitter_crawler.py </t>
  </si>
  <si>
    <t>input: keyword</t>
  </si>
  <si>
    <t>twitter_comment.csv</t>
  </si>
  <si>
    <t>YOUTUBE_URL = 'https://www.youtube.com/results?search_query='
**코드 scroll 끝까지 내려서 전체 추출 [스크롤내리는 작업 코드로 구현]</t>
  </si>
  <si>
    <t xml:space="preserve">2단계 </t>
  </si>
  <si>
    <t xml:space="preserve">Filtering Dictionary </t>
  </si>
  <si>
    <t xml:space="preserve">1. data filtering dictionary </t>
  </si>
  <si>
    <t>_직접 제작</t>
  </si>
  <si>
    <t>spam.txt</t>
  </si>
  <si>
    <t>_txt파일에 필요시 spam keyword 추가</t>
  </si>
  <si>
    <t>3단계</t>
  </si>
  <si>
    <t xml:space="preserve">Filtering </t>
  </si>
  <si>
    <t xml:space="preserve">1. SPAM filtering </t>
  </si>
  <si>
    <t xml:space="preserve">except_spam.py </t>
  </si>
  <si>
    <t>manual()</t>
  </si>
  <si>
    <t xml:space="preserve">매뉴얼 소개 </t>
  </si>
  <si>
    <t>1. Read data
2. Read spam keyword that needs to be removed
 3. Read the data one line at a time and remove it if it contains spam keyword.</t>
  </si>
  <si>
    <t>twitter_comment.csv
youtube_comment.csv
naver_comment.csv</t>
  </si>
  <si>
    <t>except_spam/total_except_spam.csv</t>
  </si>
  <si>
    <t>except_spam/youtube_except_spam.csv
except_spam/naver_twitter_except_spam.csv</t>
  </si>
  <si>
    <t>_twitter, naver 특징 비슷하므로 output file 합쳐서 저장
_youtube 는 따로 저장</t>
  </si>
  <si>
    <t>_모든 데이터 합친 파일 저장</t>
  </si>
  <si>
    <t>filtering_keyword_or.py</t>
  </si>
  <si>
    <t>2. A 또는 B…...  keyword 포함한 데이터 추출하기</t>
  </si>
  <si>
    <t>filtered file 생성</t>
  </si>
  <si>
    <t xml:space="preserve"> 1. Input keyword until you enter 0
  2. This program perform OR operation on the keywords
  3. Create three csv files. (naver&amp;&amp;twitter, youtube, total)')</t>
  </si>
  <si>
    <t>include_keyword/total_include_or_' + keyword[0] + '.csv</t>
  </si>
  <si>
    <t>include_keyword/youtube_include_or_' + keyword[0] + '.csv
include_keyword/naver_twitter_include_or_' + keyword[0] + '.csv</t>
  </si>
  <si>
    <t>include_keyword/youtube_include_and_' + keyword[0] + '.csv
include_keyword/naver_twitter_include_and_' + keyword[0] + '.csv</t>
  </si>
  <si>
    <t>include_keyword/total_include_and_' + keyword[0] + '.csv</t>
  </si>
  <si>
    <t xml:space="preserve"> 1. Input keyword until you enter 0
  2. This program perform AND operation on the keywords
  3. Create three csv files. (naver&amp;&amp;twitter, youtube, total)')</t>
  </si>
  <si>
    <t>3. A 그리고 B…...  keyword 포함한 데이터 추출하기</t>
  </si>
  <si>
    <t>filtering_keyword_and.py</t>
  </si>
  <si>
    <t>4단계</t>
  </si>
  <si>
    <t xml:space="preserve">빈도분석 </t>
  </si>
  <si>
    <t>키워드 빈도분석</t>
  </si>
  <si>
    <t>5단계</t>
  </si>
  <si>
    <t>기초 분류</t>
  </si>
  <si>
    <t>6단계</t>
  </si>
  <si>
    <t>word2vec 유사도 판단</t>
  </si>
  <si>
    <t>#!/usr/bin/python</t>
  </si>
  <si>
    <t># -*- coding: utf-8 -*-</t>
  </si>
  <si>
    <t>import sys</t>
  </si>
  <si>
    <t>import naver_crawler</t>
  </si>
  <si>
    <t>import youtube_crawler</t>
  </si>
  <si>
    <t>import twitter_crawler</t>
  </si>
  <si>
    <t>MAX_MENU = 3</t>
  </si>
  <si>
    <t>NAVER_CRAWLING = 1</t>
  </si>
  <si>
    <t>YOUTUBE_CRAWLING = 2</t>
  </si>
  <si>
    <t>TWITTER_CRAWLING = 3</t>
  </si>
  <si>
    <t>def menu():</t>
  </si>
  <si>
    <t xml:space="preserve">    print('Crawling Program &gt;&gt; Please select menu')</t>
  </si>
  <si>
    <t xml:space="preserve">    print('=======================================')</t>
  </si>
  <si>
    <t xml:space="preserve">    print('1. Naver Blog Crawling')</t>
  </si>
  <si>
    <t xml:space="preserve">    print('2. Youtube Comment Crawling')</t>
  </si>
  <si>
    <t xml:space="preserve">    print('3. Twitter Crawling')</t>
  </si>
  <si>
    <t xml:space="preserve">    </t>
  </si>
  <si>
    <t>if __name__ == "__main__":</t>
  </si>
  <si>
    <t xml:space="preserve">    menu()</t>
  </si>
  <si>
    <t xml:space="preserve">    # 메뉴 버튼 잘못 눌렀을 경우의 예외처</t>
  </si>
  <si>
    <t xml:space="preserve">    try:</t>
  </si>
  <si>
    <t xml:space="preserve">        menu_num = int(input('Menu : '))</t>
  </si>
  <si>
    <t xml:space="preserve">    except :</t>
  </si>
  <si>
    <t xml:space="preserve">        print('Please press valid menu number')</t>
  </si>
  <si>
    <t xml:space="preserve">        sys.exit(1)</t>
  </si>
  <si>
    <t xml:space="preserve">    if(not( 1 &lt;= menu_num &lt;= MAX_MENU)):</t>
  </si>
  <si>
    <t xml:space="preserve">        print('Please press valid menu number (1~3)')</t>
  </si>
  <si>
    <t xml:space="preserve">    # 네이버 블로그 크롤링</t>
  </si>
  <si>
    <t xml:space="preserve">    if(menu_num == NAVER_CRAWLING):</t>
  </si>
  <si>
    <t xml:space="preserve">        naver_crawler.crawling()</t>
  </si>
  <si>
    <t xml:space="preserve">    # 유튜브 댓글 크롤링</t>
  </si>
  <si>
    <t xml:space="preserve">    elif(menu_num == YOUTUBE_CRAWLING):</t>
  </si>
  <si>
    <t xml:space="preserve">        #youtube_crawler.video_url_crawling()          # 유튜브에 있는 동영상 제목, url 전부 가져옴</t>
  </si>
  <si>
    <t xml:space="preserve">        youtube_crawler.video_comment_crawling()     # 유튜브 각 동영상에 있는 댓글 전부 가져옴</t>
  </si>
  <si>
    <t xml:space="preserve">    # 트위터 게시글 크롤</t>
  </si>
  <si>
    <t xml:space="preserve">    elif(menu_num == TWITTER_CRAWLING):</t>
  </si>
  <si>
    <t xml:space="preserve">        twitter_crawler.crawling()</t>
  </si>
  <si>
    <t xml:space="preserve">       </t>
  </si>
  <si>
    <t>Main.py</t>
  </si>
  <si>
    <t>import urllib</t>
  </si>
  <si>
    <t>import time</t>
  </si>
  <si>
    <t>import pandas as pd</t>
  </si>
  <si>
    <t>import re</t>
  </si>
  <si>
    <t>from pandas import DataFrame, Series</t>
  </si>
  <si>
    <t>from urllib.request import urlopen</t>
  </si>
  <si>
    <t>from bs4 import BeautifulSoup</t>
  </si>
  <si>
    <t>from selenium import webdriver as wd</t>
  </si>
  <si>
    <t>from selenium.webdriver.common.keys import Keys</t>
  </si>
  <si>
    <t>def crawling():</t>
  </si>
  <si>
    <t xml:space="preserve">    data = []</t>
  </si>
  <si>
    <t xml:space="preserve">    BLOG_COUNT_PER_PAGE = 7</t>
  </si>
  <si>
    <t xml:space="preserve">    keyword = input('Keyword : ')</t>
  </si>
  <si>
    <t xml:space="preserve">        page_num = int(input('Page Num : '))</t>
  </si>
  <si>
    <t xml:space="preserve">    except:</t>
  </si>
  <si>
    <t xml:space="preserve">        print('Please press valid page number (int)')</t>
  </si>
  <si>
    <t xml:space="preserve">    driver = wd.Chrome('./tool/chromedriver.exe')</t>
  </si>
  <si>
    <t xml:space="preserve">    driver.maximize_window()</t>
  </si>
  <si>
    <t xml:space="preserve">    # 블로그 제목에 해당하는 css selector -&gt; 중간에 BLOG_NUM에 따라 계속 바뀜</t>
  </si>
  <si>
    <t xml:space="preserve">    _const_title_selector = '#content &gt; section &gt; div.area_list_search &gt; div:nth-child(%%BLOG_NUM%%) &gt; div &gt; div.info_post &gt; div &gt; a.desc_inner &gt; strong &gt; span.title'</t>
  </si>
  <si>
    <t xml:space="preserve">    # 블로그 미리보기 내용에 해당하는 css selector -&gt; 중간에 BLOG_NUM에 따라 계속 바뀜</t>
  </si>
  <si>
    <t xml:space="preserve">    _const_content_selector = '#content &gt; section &gt; div.area_list_search &gt; div:nth-child(%%BLOG_NUM%%) &gt; div &gt; div.info_post &gt; div &gt; a.text'</t>
  </si>
  <si>
    <t xml:space="preserve">    temporary_storage_num = 1</t>
  </si>
  <si>
    <t xml:space="preserve">    for PAGE_NUM in range(page_num + 1):</t>
  </si>
  <si>
    <t xml:space="preserve">        print(f'Start crawling page {PAGE_NUM}')</t>
  </si>
  <si>
    <t xml:space="preserve">        </t>
  </si>
  <si>
    <t xml:space="preserve">        # page 번호에 해당하는 url을 계산</t>
  </si>
  <si>
    <t xml:space="preserve">        link = NAVER_URL.replace('%%PAGE_NUM%%', str(PAGE_NUM)) + keyword</t>
  </si>
  <si>
    <t xml:space="preserve">        driver.get(link)</t>
  </si>
  <si>
    <t xml:space="preserve">        # page 로딩 시간 기다림</t>
  </si>
  <si>
    <t xml:space="preserve">        time.sleep(2)</t>
  </si>
  <si>
    <t xml:space="preserve">        for BLOG_NUM in range(1, BLOG_COUNT_PER_PAGE + 1):</t>
  </si>
  <si>
    <t xml:space="preserve">            title_selector = _const_title_selector.replace('%%BLOG_NUM%%',str(BLOG_NUM))</t>
  </si>
  <si>
    <t xml:space="preserve">            content_selector = _const_content_selector.replace('%%BLOG_NUM%%', str(BLOG_NUM))</t>
  </si>
  <si>
    <t xml:space="preserve">            # 제목과 내용을 가져옴</t>
  </si>
  <si>
    <t xml:space="preserve">            title  = driver.find_element_by_css_selector(title_selector).text</t>
  </si>
  <si>
    <t xml:space="preserve">            content = driver.find_element_by_css_selector(content_selector).text</t>
  </si>
  <si>
    <t xml:space="preserve">            # 특수기호 없애는 작업</t>
  </si>
  <si>
    <t xml:space="preserve">            for idx in range(len(title)):</t>
  </si>
  <si>
    <t xml:space="preserve">                if not ((0 &lt;= ord(title[idx]) &lt; 128) or (0xac00 &lt;= ord(title[idx]) &lt;= 0xd7af)):</t>
  </si>
  <si>
    <t xml:space="preserve">                    title = title.replace(title[idx], ' ')</t>
  </si>
  <si>
    <t xml:space="preserve">                    </t>
  </si>
  <si>
    <t xml:space="preserve">            for idx in range(len(content)):</t>
  </si>
  <si>
    <t xml:space="preserve">                if not ((0 &lt;= ord(content[idx]) &lt; 128) or (0xac00 &lt;= ord(content[idx]) &lt;= 0xd7af)):</t>
  </si>
  <si>
    <t xml:space="preserve">                    content = content.replace(content[idx], ' ')</t>
  </si>
  <si>
    <t xml:space="preserve">            data.append([title, content])</t>
  </si>
  <si>
    <t xml:space="preserve">        # 컴퓨터 메모리 때문에 100 page씩 데이터를 저장하고 버퍼를 지운다.</t>
  </si>
  <si>
    <t xml:space="preserve">        if temporary_storage_num % 100 == 0:</t>
  </si>
  <si>
    <t xml:space="preserve">            dataframe = pd.DataFrame(data, columns=["title", "content"])</t>
  </si>
  <si>
    <t xml:space="preserve">            dataframe.to_csv('./naver_comment.csv', mode='a', encoding='cp949')</t>
  </si>
  <si>
    <t xml:space="preserve">            data = []</t>
  </si>
  <si>
    <t xml:space="preserve">            </t>
  </si>
  <si>
    <t xml:space="preserve">        temporary_storage_num += 1</t>
  </si>
  <si>
    <t xml:space="preserve">  </t>
  </si>
  <si>
    <t xml:space="preserve">    driver.close()</t>
  </si>
  <si>
    <t xml:space="preserve">    print('Finish crawling')</t>
  </si>
  <si>
    <t xml:space="preserve">    print('The data is being written to the csv file.')</t>
  </si>
  <si>
    <t xml:space="preserve">    dataframe = pd.DataFrame(data, columns=["title", "url"])</t>
  </si>
  <si>
    <t xml:space="preserve">    dataframe.to_csv('../data/naver_comment.csv', mode='a', encoding='cp949')       </t>
  </si>
  <si>
    <t xml:space="preserve">    print('Finish working')</t>
  </si>
  <si>
    <t>Naver_crawler.py</t>
  </si>
  <si>
    <t>def video_url_crawling():</t>
  </si>
  <si>
    <t xml:space="preserve">        data = []</t>
  </si>
  <si>
    <t xml:space="preserve">        keyword = input('Keyword : ')</t>
  </si>
  <si>
    <t xml:space="preserve">        driver = wd.Chrome('./tool/chromedriver.exe')</t>
  </si>
  <si>
    <t xml:space="preserve">        driver.maximize_window()</t>
  </si>
  <si>
    <t xml:space="preserve">        driver.get(YOUTUBE_URL+keyword)</t>
  </si>
  <si>
    <t xml:space="preserve">        print('The scrolling starts moving to the bottom of the main page.')</t>
  </si>
  <si>
    <t xml:space="preserve">        body = driver.find_element_by_tag_name("body")</t>
  </si>
  <si>
    <t xml:space="preserve">        while True:</t>
  </si>
  <si>
    <t xml:space="preserve">            ### id = '#message' 에 해당하는 값을 가져옴.</t>
  </si>
  <si>
    <t xml:space="preserve">            ### 유튜브에서는 id = '#message'는 scoll을 맨 끝까지 내렸을 때 나타나는 값임.</t>
  </si>
  <si>
    <t xml:space="preserve">            items=driver.find_elements_by_css_selector('#message')</t>
  </si>
  <si>
    <t xml:space="preserve">            ### scroll을 끝까지 내렸다면 반복문 탈출</t>
  </si>
  <si>
    <t xml:space="preserve">            if(len(items)):</t>
  </si>
  <si>
    <t xml:space="preserve">                break</t>
  </si>
  <si>
    <t xml:space="preserve">            body.send_keys(Keys.PAGE_DOWN)</t>
  </si>
  <si>
    <t xml:space="preserve">            ### 로딩 시간 기다림</t>
  </si>
  <si>
    <t xml:space="preserve">            time.sleep(0.1)</t>
  </si>
  <si>
    <t xml:space="preserve">        print('Arrived at the end of the main page')</t>
  </si>
  <si>
    <t xml:space="preserve">        print('Start to get the url of the video')</t>
  </si>
  <si>
    <t xml:space="preserve">        ### 동영상 제목, url을 가지고 있는 class를 가져옴.</t>
  </si>
  <si>
    <t xml:space="preserve">        items = driver.find_elements_by_css_selector('#video-title')</t>
  </si>
  <si>
    <t xml:space="preserve">        for idx in items:</t>
  </si>
  <si>
    <t xml:space="preserve">            if(idx.get_attribute('href') is not None):</t>
  </si>
  <si>
    <t xml:space="preserve">                ### 한글 깨짐 방지</t>
  </si>
  <si>
    <t xml:space="preserve">                text = idx.text</t>
  </si>
  <si>
    <t xml:space="preserve">                for i in range(len(text)):</t>
  </si>
  <si>
    <t xml:space="preserve">                    if not ((0 &lt;= ord(text[i]) &lt; 128) or (0xac00 &lt;= ord(text[i]) &lt;= 0xd7af)):</t>
  </si>
  <si>
    <t xml:space="preserve">                        text = text.replace(text[i], ' ')</t>
  </si>
  <si>
    <t xml:space="preserve">                data.append([text, idx.get_attribute('href')])</t>
  </si>
  <si>
    <t xml:space="preserve">        driver.close()</t>
  </si>
  <si>
    <t xml:space="preserve">        print('Finish previous working')</t>
  </si>
  <si>
    <t xml:space="preserve">        print('The data is being written to the csv file.')</t>
  </si>
  <si>
    <t xml:space="preserve">        ### csv 파일에 저장 [동영상 제목, 동영상 url]</t>
  </si>
  <si>
    <t xml:space="preserve">        dataframe = pd.DataFrame(data, columns=["title", "url"])</t>
  </si>
  <si>
    <t xml:space="preserve">        dataframe.to_csv('../data/youtube_url_collection.csv', encoding='cp949')</t>
  </si>
  <si>
    <t xml:space="preserve">        print('Finish working')        </t>
  </si>
  <si>
    <t>def video_comment_crawling():</t>
  </si>
  <si>
    <t xml:space="preserve">    df = pd.read_csv('../data/youtube_url_collection.csv', encoding = 'cp949')</t>
  </si>
  <si>
    <t xml:space="preserve">    for i in range(len(df.index)):</t>
  </si>
  <si>
    <t xml:space="preserve">        title = df['title'][i]</t>
  </si>
  <si>
    <t xml:space="preserve">        link = df['url'][i]</t>
  </si>
  <si>
    <t xml:space="preserve">        print(f'Start comment crawling : title = {title}')</t>
  </si>
  <si>
    <t xml:space="preserve">              </t>
  </si>
  <si>
    <t xml:space="preserve">        count = 0</t>
  </si>
  <si>
    <t xml:space="preserve">        print('The scrolling starts moving to the bottom of the comment page.')</t>
  </si>
  <si>
    <t xml:space="preserve">        ### 댓글 데이터를 가져옴</t>
  </si>
  <si>
    <t xml:space="preserve">        last = driver.find_elements_by_css_selector('#content-text')</t>
  </si>
  <si>
    <t xml:space="preserve">            time.sleep(0.4)</t>
  </si>
  <si>
    <t xml:space="preserve">            new = driver.find_elements_by_css_selector('#content-text')</t>
  </si>
  <si>
    <t xml:space="preserve">            if new == last:</t>
  </si>
  <si>
    <t xml:space="preserve">                if count == 10:</t>
  </si>
  <si>
    <t xml:space="preserve">                    break</t>
  </si>
  <si>
    <t xml:space="preserve">                count += 1</t>
  </si>
  <si>
    <t xml:space="preserve">            else:</t>
  </si>
  <si>
    <t xml:space="preserve">                count = 0</t>
  </si>
  <si>
    <t xml:space="preserve">            last = new</t>
  </si>
  <si>
    <t xml:space="preserve">        print('Arrived at the end of the comment page')</t>
  </si>
  <si>
    <t xml:space="preserve">        for idx in new:</t>
  </si>
  <si>
    <t xml:space="preserve">            ### 한글 깨짐 방지</t>
  </si>
  <si>
    <t xml:space="preserve">            text = idx.text</t>
  </si>
  <si>
    <t xml:space="preserve">            for idx in range(len(text)):</t>
  </si>
  <si>
    <t xml:space="preserve">                if not ((0 &lt;= ord(text[idx]) &lt; 128) or (0xac00 &lt;= ord(text[idx]) &lt;= 0xd7af)):</t>
  </si>
  <si>
    <t xml:space="preserve">                    text = text.replace(text[idx], ' ')</t>
  </si>
  <si>
    <t xml:space="preserve">            data.append([title, text])</t>
  </si>
  <si>
    <t xml:space="preserve">            dataframe.to_csv('../data/youtube_comment.csv', mode = 'a', encoding='cp949')</t>
  </si>
  <si>
    <t xml:space="preserve">    print('Finish comment crawling')</t>
  </si>
  <si>
    <t xml:space="preserve">    ### 댓글 정보를 csv 파일에 저장</t>
  </si>
  <si>
    <t xml:space="preserve">    dataframe = pd.DataFrame(data, columns=["title", "content"])</t>
  </si>
  <si>
    <t xml:space="preserve">    dataframe.to_csv('../data/youtube_comment.csv', mode = 'a', encoding='cp949')</t>
  </si>
  <si>
    <t>Youtube_crawler.py</t>
  </si>
  <si>
    <t>TWITTER_URL = 'https://twitter.com/search?l=&amp;q='</t>
  </si>
  <si>
    <t xml:space="preserve">    driver.get(TWITTER_URL + keyword)</t>
  </si>
  <si>
    <t xml:space="preserve">    print('The scroll is starting to move bottom')</t>
  </si>
  <si>
    <t xml:space="preserve">    # 페이지 스크롤을 끝날 때까지 계속 내림</t>
  </si>
  <si>
    <t xml:space="preserve">    # 스크롤을 내리기 전의 화면 높이와 내렸을 때의 화면 높이가 같다면 더 이상 내려갈 곳이 없다는 의미이므로 무한 루프를 탈출함.</t>
  </si>
  <si>
    <t xml:space="preserve">    last_height = driver.execute_script("return document.body.scrollHeight")</t>
  </si>
  <si>
    <t xml:space="preserve">    while True:</t>
  </si>
  <si>
    <t xml:space="preserve">        driver.execute_script("window.scrollTo(0, document.body.scrollHeight)")</t>
  </si>
  <si>
    <t xml:space="preserve">        time.sleep(1)</t>
  </si>
  <si>
    <t xml:space="preserve">        new_height = driver.execute_script("return document.body.scrollHeight")</t>
  </si>
  <si>
    <t xml:space="preserve">        if new_height == last_height:</t>
  </si>
  <si>
    <t xml:space="preserve">            # Wait to load page</t>
  </si>
  <si>
    <t xml:space="preserve">            time.sleep(1)</t>
  </si>
  <si>
    <t xml:space="preserve">            new_height = driver.execute_script("return document.body.scrollHeight")</t>
  </si>
  <si>
    <t xml:space="preserve">            if(new_height == last_height):</t>
  </si>
  <si>
    <t xml:space="preserve">        last_height = new_height</t>
  </si>
  <si>
    <t xml:space="preserve">    print('Arrived at the end of the page')</t>
  </si>
  <si>
    <t xml:space="preserve">    print('Start twitter crawling')</t>
  </si>
  <si>
    <t xml:space="preserve">    soup = BeautifulSoup(driver.page_source, 'html.parser')</t>
  </si>
  <si>
    <t xml:space="preserve">    # 트위터의 게시글에는 각각의 고유의 아이디가 있어서 트위터 사이트에서 모든 게시글 아이디를 리스트형으로 가져옴</t>
  </si>
  <si>
    <t xml:space="preserve">    pattern = re.compile('stream-item-tweet-\d+')</t>
  </si>
  <si>
    <t xml:space="preserve">    items = pattern.findall(str(soup))</t>
  </si>
  <si>
    <t xml:space="preserve">    for item in items:</t>
  </si>
  <si>
    <t xml:space="preserve">        # 위에서 가져온 고유 아이디를 이용하여 게시글 본문을 css selector를 이용하여 가져</t>
  </si>
  <si>
    <t xml:space="preserve">        text = driver.find_element_by_css_selector('#'+ item +' &gt; div &gt; div.content &gt; div.js-tweet-text-container &gt; p').text</t>
  </si>
  <si>
    <t xml:space="preserve">        # 특수기호를 없애는 작</t>
  </si>
  <si>
    <t xml:space="preserve">        for idx in range(len(text)):</t>
  </si>
  <si>
    <t xml:space="preserve">            if not ((0 &lt;= ord(text[idx]) &lt; 128) or (0xac00 &lt;= ord(text[idx]) &lt;= 0xd7af)):</t>
  </si>
  <si>
    <t xml:space="preserve">                text = text.replace(text[idx], ' ')</t>
  </si>
  <si>
    <t xml:space="preserve">        data.append(text)</t>
  </si>
  <si>
    <t xml:space="preserve">    dataframe = pd.DataFrame(data, columns=["content"])</t>
  </si>
  <si>
    <t xml:space="preserve">    dataframe.to_csv('../data/twitter_comment.csv', mode = 'a', encoding='cp949')</t>
  </si>
  <si>
    <t>twitter_crawler.py</t>
  </si>
  <si>
    <t>취업</t>
  </si>
  <si>
    <t>면접</t>
  </si>
  <si>
    <t>진로</t>
  </si>
  <si>
    <t>미미</t>
  </si>
  <si>
    <t>정책</t>
  </si>
  <si>
    <t>인턴</t>
  </si>
  <si>
    <t>면허</t>
  </si>
  <si>
    <t>사업</t>
  </si>
  <si>
    <t>취준생</t>
  </si>
  <si>
    <t>컨설팅</t>
  </si>
  <si>
    <t>입사</t>
  </si>
  <si>
    <t>대졸</t>
  </si>
  <si>
    <t>교육</t>
  </si>
  <si>
    <t>특강</t>
  </si>
  <si>
    <t>잘생긴</t>
  </si>
  <si>
    <t>계약</t>
  </si>
  <si>
    <t>자기소개서</t>
  </si>
  <si>
    <t>일자리</t>
  </si>
  <si>
    <t>지원</t>
  </si>
  <si>
    <t>유튜브관련키워드</t>
  </si>
  <si>
    <t>구독자</t>
  </si>
  <si>
    <t>음악</t>
  </si>
  <si>
    <t>구독</t>
  </si>
  <si>
    <t>편집</t>
  </si>
  <si>
    <t>영상</t>
  </si>
  <si>
    <t>발음</t>
  </si>
  <si>
    <t>편집자</t>
  </si>
  <si>
    <t>목소리</t>
  </si>
  <si>
    <t>브금</t>
  </si>
  <si>
    <t xml:space="preserve">댓글 </t>
  </si>
  <si>
    <t>힘들</t>
  </si>
  <si>
    <t>예쁜</t>
  </si>
  <si>
    <t>연봉</t>
  </si>
  <si>
    <t>월급</t>
  </si>
  <si>
    <t>급여</t>
  </si>
  <si>
    <t>기업</t>
  </si>
  <si>
    <t>서비스직</t>
  </si>
  <si>
    <t>승무원</t>
  </si>
  <si>
    <t>박봉</t>
  </si>
  <si>
    <t>외모</t>
  </si>
  <si>
    <t>취집</t>
  </si>
  <si>
    <t>땅콩</t>
  </si>
  <si>
    <t>시집</t>
  </si>
  <si>
    <t>언니</t>
  </si>
  <si>
    <t>누나</t>
  </si>
  <si>
    <t>누님</t>
  </si>
  <si>
    <t>유니폼</t>
  </si>
  <si>
    <t>연예인</t>
  </si>
  <si>
    <t>메이저</t>
  </si>
  <si>
    <t>메이져</t>
  </si>
  <si>
    <t>승부심</t>
  </si>
  <si>
    <t>결혼</t>
  </si>
  <si>
    <t>못생</t>
  </si>
  <si>
    <t>스튜어디</t>
  </si>
  <si>
    <t>응원</t>
  </si>
  <si>
    <t xml:space="preserve">이뻐 </t>
  </si>
  <si>
    <t>예쁘</t>
  </si>
  <si>
    <t>토익</t>
  </si>
  <si>
    <t>정보</t>
  </si>
  <si>
    <t>감사</t>
  </si>
  <si>
    <t>스펙</t>
  </si>
  <si>
    <t>채용</t>
  </si>
  <si>
    <t>합격</t>
  </si>
  <si>
    <t>지상직</t>
  </si>
  <si>
    <t>인터뷰</t>
  </si>
  <si>
    <t>공지</t>
  </si>
  <si>
    <t>발표</t>
  </si>
  <si>
    <t>서류</t>
  </si>
  <si>
    <t>학원</t>
  </si>
  <si>
    <t>기출</t>
  </si>
  <si>
    <t>상담</t>
  </si>
  <si>
    <t>과외</t>
  </si>
  <si>
    <t>홀수</t>
  </si>
  <si>
    <t>짝수</t>
  </si>
  <si>
    <t>릴카</t>
  </si>
  <si>
    <t>릴</t>
  </si>
  <si>
    <t>존예</t>
  </si>
  <si>
    <t>릴하</t>
  </si>
  <si>
    <t>선댓</t>
  </si>
  <si>
    <t>샹년</t>
  </si>
  <si>
    <t>인성</t>
  </si>
  <si>
    <t>김치</t>
  </si>
  <si>
    <t xml:space="preserve">새끼 </t>
  </si>
  <si>
    <t>청와대</t>
  </si>
  <si>
    <t>문재인</t>
  </si>
  <si>
    <t>북한</t>
  </si>
  <si>
    <t>정부</t>
  </si>
  <si>
    <t>최순실</t>
  </si>
  <si>
    <t>뉴스</t>
  </si>
  <si>
    <t>국회의원</t>
  </si>
  <si>
    <t>공무원</t>
  </si>
  <si>
    <t>새누리당</t>
  </si>
  <si>
    <t>사장</t>
  </si>
  <si>
    <t>장관</t>
  </si>
  <si>
    <t xml:space="preserve">부사장 </t>
  </si>
  <si>
    <t>RT</t>
  </si>
  <si>
    <t>rt</t>
  </si>
  <si>
    <t>Rt</t>
  </si>
  <si>
    <t>링크</t>
  </si>
  <si>
    <t xml:space="preserve">동방신기 </t>
  </si>
  <si>
    <t>BTS</t>
  </si>
  <si>
    <t>RM</t>
  </si>
  <si>
    <t>예약기간</t>
  </si>
  <si>
    <t>import csv</t>
  </si>
  <si>
    <t>def manual():</t>
  </si>
  <si>
    <t xml:space="preserve">    print('********The order of execution of this program*******')</t>
  </si>
  <si>
    <t xml:space="preserve">    print('1. Read data')</t>
  </si>
  <si>
    <t xml:space="preserve">    print('2. Read spam keyword that needs to be removed')</t>
  </si>
  <si>
    <t xml:space="preserve">    print('3. Read the data one line at a time and remove it if it contains spam keyword.')</t>
  </si>
  <si>
    <t xml:space="preserve">    print('*****************************************************')</t>
  </si>
  <si>
    <t>if __name__ == '__main__':</t>
  </si>
  <si>
    <t xml:space="preserve">    manual()</t>
  </si>
  <si>
    <t xml:space="preserve">    print('Read data')</t>
  </si>
  <si>
    <t xml:space="preserve">    # 정제할 단어 목록을 읽음. 단어를 추가하고 싶으면 spam.txt파일 맨 아래에 추가</t>
  </si>
  <si>
    <t xml:space="preserve">    filter_f  = open('./except_spam/spam.txt','r', encoding = 'cp949')</t>
  </si>
  <si>
    <t xml:space="preserve">    naver_f   = pd.read_csv('./naver_comment.csv', encoding = 'cp949')</t>
  </si>
  <si>
    <t xml:space="preserve">    twitter_f = pd.read_csv('./twitter_comment.csv', encoding = 'cp949')</t>
  </si>
  <si>
    <t xml:space="preserve">    youtube_f = pd.read_csv('./youtube_comment.csv', encoding = 'cp949')</t>
  </si>
  <si>
    <t xml:space="preserve">    print('Finish read data')</t>
  </si>
  <si>
    <t xml:space="preserve">    # 정제할 단어 목록을 리스트형으로 변환함.</t>
  </si>
  <si>
    <t xml:space="preserve">    filtering_data = filter_f.read().split('\n')</t>
  </si>
  <si>
    <t xml:space="preserve">    print('Start filtering NAVER BLOG')</t>
  </si>
  <si>
    <t xml:space="preserve">    flag = 1</t>
  </si>
  <si>
    <t xml:space="preserve">    # 네이버 블로그 게시글 각각에 대하여 반복문 실행</t>
  </si>
  <si>
    <t xml:space="preserve">    for content in naver_f['content'].dropna():</t>
  </si>
  <si>
    <t xml:space="preserve">        flag = 1</t>
  </si>
  <si>
    <t xml:space="preserve">        for keyword in filtering_data:</t>
  </si>
  <si>
    <t xml:space="preserve">            # 어떤 spam keyword 중 하나라도 게시글에 포함되어 있으면 반복문 탈출</t>
  </si>
  <si>
    <t xml:space="preserve">            if keyword in content:</t>
  </si>
  <si>
    <t xml:space="preserve">                flag = 0</t>
  </si>
  <si>
    <t xml:space="preserve">        # 어떤 spam keyword라도 게시글에 포함되지 않았다면 해당 게시글을 따로 저장</t>
  </si>
  <si>
    <t xml:space="preserve">        if flag:</t>
  </si>
  <si>
    <t xml:space="preserve">            data.append(content)</t>
  </si>
  <si>
    <t xml:space="preserve">    print('Finish filtering NAVER BLOG')</t>
  </si>
  <si>
    <t xml:space="preserve">    print('Start filtering TWITTER POSTS')</t>
  </si>
  <si>
    <t xml:space="preserve">    # 트위터 게시글 각각에 대하여 반복문 실행</t>
  </si>
  <si>
    <t xml:space="preserve">    for content in twitter_f['content'].dropna():</t>
  </si>
  <si>
    <t xml:space="preserve">        # 어떤 spam keyword 중 하나라도 게시글에 포함되어 있으면 반복문 탈출</t>
  </si>
  <si>
    <t xml:space="preserve">    # 네이버 블로그와 트위터를 하나로 합쳐서 한 파일에 저장함</t>
  </si>
  <si>
    <t xml:space="preserve">    dataframe = pd.DataFrame(data, columns=['content'])</t>
  </si>
  <si>
    <t xml:space="preserve">    dataframe.to_csv('./except_spam/naver_twitter_except_spam.csv', mode= 'w', encoding = 'cp949')</t>
  </si>
  <si>
    <t xml:space="preserve">    print('Finish filtering TWITTER POSTS')</t>
  </si>
  <si>
    <t xml:space="preserve">    print('Start filtering YOUTUBE COMMENTS')</t>
  </si>
  <si>
    <t xml:space="preserve">    youtube_data = []</t>
  </si>
  <si>
    <t xml:space="preserve">    for content in youtube_f['content'].dropna():</t>
  </si>
  <si>
    <t xml:space="preserve">        # 유튜브 댓글 각각에 대하여 반복문 실행</t>
  </si>
  <si>
    <t xml:space="preserve">            youtube_data.append(content)</t>
  </si>
  <si>
    <t xml:space="preserve">    dataframe = pd.DataFrame(youtube_data, columns=['content'])</t>
  </si>
  <si>
    <t xml:space="preserve">    dataframe.to_csv('./except_spam/youtube_except_spam.csv', mode= 'w', encoding = 'cp949')</t>
  </si>
  <si>
    <t xml:space="preserve">    dataframe.to_csv('./except_spam/total_except_spam.csv', mode= 'w', encoding = 'cp949')</t>
  </si>
  <si>
    <t xml:space="preserve">    print('Finish filtering YOUTUBE COMMENTS')</t>
  </si>
  <si>
    <t xml:space="preserve">    filter_f.close()</t>
  </si>
  <si>
    <t>except_spam.py</t>
  </si>
  <si>
    <t xml:space="preserve">    print('*****************************************')</t>
  </si>
  <si>
    <t xml:space="preserve">    print('1. Input keyword until you enter 0')</t>
  </si>
  <si>
    <t xml:space="preserve">    print('2. This program preform AND operation on the keywords')</t>
  </si>
  <si>
    <t xml:space="preserve">    print('3. Create three csv files. (naver&amp;&amp;twitter, youtube, total)')</t>
  </si>
  <si>
    <t xml:space="preserve">    keyword = []</t>
  </si>
  <si>
    <t xml:space="preserve">    # 사용자가 0을 입력하기 전까지 keyword를 계속 입력받는다.</t>
  </si>
  <si>
    <t xml:space="preserve">        tmp = input('keyword : ')</t>
  </si>
  <si>
    <t xml:space="preserve">        if tmp == '0':</t>
  </si>
  <si>
    <t xml:space="preserve">            break</t>
  </si>
  <si>
    <t xml:space="preserve">        keyword.append(tmp)</t>
  </si>
  <si>
    <t xml:space="preserve">    naver_twitter_f = pd.read_csv('./except_spam/naver_twitter_except_spam.csv', encoding = 'cp949')</t>
  </si>
  <si>
    <t xml:space="preserve">    youtube_f = pd.read_csv('./except_spam/youtube_except_spam.csv', encoding = 'cp949')</t>
  </si>
  <si>
    <t xml:space="preserve">    print('Start filtering NAVER BLOG &amp;&amp; TWITTER POSTS')</t>
  </si>
  <si>
    <t xml:space="preserve">    for content in naver_twitter_f['content']:</t>
  </si>
  <si>
    <t xml:space="preserve">        for i in keyword:</t>
  </si>
  <si>
    <t xml:space="preserve">            # 네이버 블로그&amp;&amp;트위터 게시글에 keyword가 하나라도 포함되지 않는다면 flag를 set하고 반복문 탈출</t>
  </si>
  <si>
    <t xml:space="preserve">            if i not in content:</t>
  </si>
  <si>
    <t xml:space="preserve">        # 게시글에 모든 keyword가 있다면 따로 저장</t>
  </si>
  <si>
    <t xml:space="preserve">    dataframe.to_csv('./include_keyword/naver_twitter_include_and_' + keyword[0] + '.csv', mode= 'w', encoding = 'cp949')</t>
  </si>
  <si>
    <t xml:space="preserve">    print('Finish filtering NAVER BLOG &amp;&amp; TWITTER POSTS')</t>
  </si>
  <si>
    <t xml:space="preserve">    for content in youtube_f['content']:</t>
  </si>
  <si>
    <t xml:space="preserve">            # 유튜브 댓글에 keyword가 하나라도 포함되지 않는다면 flag를 set하고 반복문 탈출</t>
  </si>
  <si>
    <t xml:space="preserve">        # 댓글에 모든 keyword가 있다면 따로 저</t>
  </si>
  <si>
    <t xml:space="preserve">    dataframe.to_csv('./include_keyword/youtube_include_and_' + keyword[0] + '.csv', mode= 'w', encoding = 'cp949')</t>
  </si>
  <si>
    <t xml:space="preserve">    dataframe.to_csv('./include_keyword/total_include_and_' + keyword[0] + '.csv', mode= 'w', encoding = 'cp949')</t>
  </si>
  <si>
    <t xml:space="preserve">    print('2. This program preform OR operation on the keywords')</t>
  </si>
  <si>
    <t xml:space="preserve">          </t>
  </si>
  <si>
    <t xml:space="preserve">   </t>
  </si>
  <si>
    <t xml:space="preserve">            # 네이버 블로그&amp;&amp;트위터 게시글에 keyword가 하나라도 포함되면 해당 게시글을 따로 저장하고 반복문 탈출</t>
  </si>
  <si>
    <t xml:space="preserve">            if i in content:</t>
  </si>
  <si>
    <t xml:space="preserve">                data.append(content)</t>
  </si>
  <si>
    <t xml:space="preserve">    dataframe.to_csv('./include_keyword/naver_twitter_include_or_' + keyword[0] + '.csv', mode= 'w', encoding = 'cp949')</t>
  </si>
  <si>
    <t xml:space="preserve">                # 유튜브 댓글에 keyword가 하나라도 포함되면 해당 게시글을 따로 저장하고 반복문 탈출                </t>
  </si>
  <si>
    <t xml:space="preserve">                youtube_data.append(content)</t>
  </si>
  <si>
    <t xml:space="preserve">    dataframe.to_csv('./include_keyword/youtube_include_or_' + keyword[0] + '.csv', mode= 'w', encoding = 'cp949')</t>
  </si>
  <si>
    <t xml:space="preserve">    dataframe.to_csv('./include_keyword/total_include_or_' + keyword[0] + '.csv', mode= 'w', encoding = 'cp949')</t>
  </si>
  <si>
    <t>Final code update date</t>
  </si>
  <si>
    <t xml:space="preserve">CSV files data </t>
  </si>
  <si>
    <t>Input</t>
  </si>
  <si>
    <t>Filtered/output</t>
  </si>
  <si>
    <t>naver_twitter_except_spam.csv</t>
  </si>
  <si>
    <t>total_except_spam.csv</t>
  </si>
  <si>
    <t>youtube_except_spam.csv</t>
  </si>
  <si>
    <t>naver_twitter_include_and_.csv</t>
  </si>
  <si>
    <t>naver_twitter_include_or_.csv</t>
  </si>
  <si>
    <t>total_include_and_.csv</t>
  </si>
  <si>
    <t>total_include_or_.csv</t>
  </si>
  <si>
    <t>youtube_include_and.csv</t>
  </si>
  <si>
    <t>youtube_include_or_.csv</t>
  </si>
  <si>
    <t xml:space="preserve">***용량 관계로 각 파일 외부에 따로 첨부 </t>
  </si>
  <si>
    <t>이예인, 정필립, 박보성</t>
  </si>
  <si>
    <t xml:space="preserve">항공사 전체 </t>
  </si>
  <si>
    <t>대한항공</t>
  </si>
  <si>
    <t>아시아나항공</t>
  </si>
  <si>
    <t>저가항공사(LCC)</t>
  </si>
  <si>
    <t>제주항공</t>
  </si>
  <si>
    <t>빈도수</t>
  </si>
  <si>
    <t>비율</t>
  </si>
  <si>
    <t xml:space="preserve">빈도수 </t>
  </si>
  <si>
    <t>마일리지</t>
  </si>
  <si>
    <t>노선</t>
  </si>
  <si>
    <t>이스타항공</t>
  </si>
  <si>
    <t>국내</t>
  </si>
  <si>
    <t>기내식</t>
  </si>
  <si>
    <t>스타얼라이언스</t>
  </si>
  <si>
    <t>많은</t>
  </si>
  <si>
    <t>티웨이항공</t>
  </si>
  <si>
    <t>인천공항</t>
  </si>
  <si>
    <t>KE</t>
  </si>
  <si>
    <t>가장</t>
  </si>
  <si>
    <t>스카이팀</t>
  </si>
  <si>
    <t>진에어</t>
  </si>
  <si>
    <t>아시아나</t>
  </si>
  <si>
    <t>터미널</t>
  </si>
  <si>
    <t>에어부산</t>
  </si>
  <si>
    <t>저가</t>
  </si>
  <si>
    <t>에어프랑스</t>
  </si>
  <si>
    <t>일본</t>
  </si>
  <si>
    <t>취항</t>
  </si>
  <si>
    <t>프레스티지석(모닝캄, 비즈니스, 퍼스트)</t>
  </si>
  <si>
    <t>에어서울</t>
  </si>
  <si>
    <t>저비용항공사</t>
  </si>
  <si>
    <t>라운지</t>
  </si>
  <si>
    <t>저렴한</t>
  </si>
  <si>
    <t>항공</t>
  </si>
  <si>
    <t>델타항공</t>
  </si>
  <si>
    <t>자유여행</t>
  </si>
  <si>
    <t>세계</t>
  </si>
  <si>
    <t>KLM네덜란드항공</t>
  </si>
  <si>
    <t>다른</t>
  </si>
  <si>
    <t>아시아</t>
  </si>
  <si>
    <t>다양한</t>
  </si>
  <si>
    <t>미국</t>
  </si>
  <si>
    <t>에어아시아</t>
  </si>
  <si>
    <t>보잉</t>
  </si>
  <si>
    <t>LCC</t>
  </si>
  <si>
    <t>여객터미널</t>
  </si>
  <si>
    <t>맥스</t>
  </si>
  <si>
    <t>기내</t>
  </si>
  <si>
    <t>대형</t>
  </si>
  <si>
    <t>중국</t>
  </si>
  <si>
    <t>오늘은</t>
  </si>
  <si>
    <t>여행</t>
  </si>
  <si>
    <t>외국</t>
  </si>
  <si>
    <t>carrier</t>
  </si>
  <si>
    <t>매출액</t>
  </si>
  <si>
    <t>서비스</t>
  </si>
  <si>
    <t>대표</t>
  </si>
  <si>
    <t>많이</t>
  </si>
  <si>
    <t>현재</t>
  </si>
  <si>
    <t>최고의</t>
  </si>
  <si>
    <t>위해</t>
  </si>
  <si>
    <t>과징금</t>
  </si>
  <si>
    <t>프레스티지석</t>
  </si>
  <si>
    <t>국적</t>
  </si>
  <si>
    <t>영업이익</t>
  </si>
  <si>
    <t>소속</t>
  </si>
  <si>
    <t>해외</t>
  </si>
  <si>
    <t>가격</t>
  </si>
  <si>
    <t>LCC항공사</t>
  </si>
  <si>
    <t>미국의</t>
  </si>
  <si>
    <t>Airlines</t>
  </si>
  <si>
    <t>수화물</t>
  </si>
  <si>
    <t>경우</t>
  </si>
  <si>
    <t>국적기</t>
  </si>
  <si>
    <t>캐리어</t>
  </si>
  <si>
    <t>공항</t>
  </si>
  <si>
    <t>우리나라</t>
  </si>
  <si>
    <t>같은</t>
  </si>
  <si>
    <t>여행을</t>
  </si>
  <si>
    <t>것으로</t>
  </si>
  <si>
    <t>요즘</t>
  </si>
  <si>
    <t>이용할</t>
  </si>
  <si>
    <t>타이항공</t>
  </si>
  <si>
    <t>대해</t>
  </si>
  <si>
    <t>하는</t>
  </si>
  <si>
    <t>국적항공사</t>
  </si>
  <si>
    <t>유나이티드</t>
  </si>
  <si>
    <t>그리고</t>
  </si>
  <si>
    <t>Alliance</t>
  </si>
  <si>
    <t>이번</t>
  </si>
  <si>
    <t>중화항공</t>
  </si>
  <si>
    <t>flyasiana</t>
  </si>
  <si>
    <t>시간</t>
  </si>
  <si>
    <t>하지만</t>
  </si>
  <si>
    <t>Total</t>
  </si>
  <si>
    <t>crawling 기간</t>
  </si>
  <si>
    <t>2017.05.01~ 2019.05.03</t>
  </si>
  <si>
    <t>2018.04.27~2019.05.04</t>
  </si>
  <si>
    <t>2018.04.03~2019.05.04</t>
  </si>
  <si>
    <t xml:space="preserve">서비스 </t>
  </si>
  <si>
    <t>항공사전체</t>
  </si>
  <si>
    <t>저가항공</t>
  </si>
  <si>
    <t xml:space="preserve">키워드 </t>
  </si>
  <si>
    <t>키워드</t>
  </si>
  <si>
    <t>빈도분석 결과 분석 및 마케팅 인사이트 도출</t>
  </si>
  <si>
    <t>Insight</t>
  </si>
  <si>
    <t xml:space="preserve">1. 고객들은 LCC의 서비스에 대한 관심이 절대적으로 낮다. 서비스에 대한 기대가 없다. </t>
  </si>
  <si>
    <t xml:space="preserve">2.  마일리지_서비스와 상관관계를 많이 보이며 대한항공, 아시아나 항공에 대한 주요 관심 요소이다. </t>
  </si>
  <si>
    <t>3. 노선은 LCC에 있어서 가장 중요한 키워드이자 LCC에 대해 사람들이 가장 관심 갖는 요소</t>
  </si>
  <si>
    <t xml:space="preserve">** 추가 인사이트는 PPT에 있습니다. </t>
  </si>
  <si>
    <t xml:space="preserve">노선과 관련된 데이터 </t>
  </si>
  <si>
    <t>東京 DAY1-1 대구출발 도쿄여행 제주항공 나리타 제 3터미널 후기</t>
  </si>
  <si>
    <t>안녕하세요 :) 개강 전 마지막으로 4박 5일간 도쿄 여행 다녀왔었어요 반 년마다 매번 떠났던 여행이지만 이번에는 못가나 싶어서 조금 울적했었는데 어떻게 또 가게 되었네용 히히 제주항공이 지방발 노선을 다양하게 신규 취항한 덕분에 드디어 대구에서도 제주항공으로 갈 수 있는 여행의 선택...</t>
  </si>
  <si>
    <t>한창 제주항공 찜특가 때문에 난리였잖아요 꽤나 다양한 노선을 팔고 있었는데 저는 인천-방콕 노선이랑 인천-세부 노선 둘 다 실패했었거든요 10시 되서 들어가면 늘 이 모양이었어요 ^^... 10시 반에도 이렇게 로딩이 길어서 그냥 포기하자 하고 있었는데 제주항공 찜특가 성공 하신 분이...</t>
  </si>
  <si>
    <t>일본자유여행 제주항공 단독노선 마쓰야마 특가 항공권 요즘 제가 일본에 갈때 자주 이용하는 제주항공 일본 노선 왕복 7번을 타면 1번 공짜인 일본패스 스탬프 이벤트로 최근 일본노선은 제주항공에 올인하고 있는데요 벌써 3번 이용해서 곧 후쿠오카와 오사카를 이용하면 5번째 스탬프가...</t>
  </si>
  <si>
    <t xml:space="preserve"> 제주항공, 무안공항 출발 도쿄·마카오 등 3개 노선 신규취항 (서울=뉴스1) 임해중 기자 | 제주항공은 오는 3월부터 무안국제공항 기점의 도쿄, 블라디보스토크, 마카오 등 3개 노선을 신규 운영한다고 21일 밝혔다.제주항공은 지난해 4월 오사카를 시작으로...</t>
  </si>
  <si>
    <t>제주항공이 3월 20일부터 인천-오사카 정기노선 취항을 시작했더라구요 인터넷 예약 할인가 199,000(TAX불포함)으로 오사카 왕복할 수 있다는 완전 멋진 가격때문에 주저없이 선택한 제주항공!! 역시 탁월한 선택이었답니다 :) 제주항공과 함께한 고고씽의 일본 오사카 여행기!! 개봉박두! 이른...</t>
  </si>
  <si>
    <t>제주항공 특가항공권-김포~제주, 일본, 홍콩, 마카오, 태국, 괌, 사이판, 블라디보스톡 등 &amp;gt; 제주항공 JJ멤버스위크 특가 프로모션 제주항공 국내선 및 국제선 항공권 출발일 8월 1일 ~ 8월 31일 발권일 4월 9일 ~ 4월 15일 항공사 제주항공 노선 제주항공 국내선 및 국제선(일본, 중화권...</t>
  </si>
  <si>
    <t>베트남 여행, 제주항공 취항 나트랑 정보 얻어보자 날씨가 추워지다보니 점차 따뜻한 남쪽 나라로 여행을 떠나는 분들이 많은 것 같다. 그중에서도... 참고로 이번에 제주항공 취항으로 가볼 수 있는 선택의 폭이 넓어졌다. 서울 인천발 나트랑 깜란행 노선으로 화수목토일 요일이 있고 귀국일도...</t>
  </si>
  <si>
    <t>근데 그 때 플래카드로 청주-오사카 노선이 들어온다는 것을 보고 '오사카 한 번 가야겠구만~'하고 있었는데 어제 하트시그널보고(요즘 푹빠짐) 인터넷으로 하트시그널 평을 보고 있는데 제주항공 광고배너가 딱! 청주-오사카 노선이 생겼단다!!!!!! 그래서 갑자기 제주항공 어플을 깔고 항공권을...</t>
  </si>
  <si>
    <t>오늘은 제주항공 을 타고 괌으로 여행 가는 분들에게 유용할 포스팅을 들고 왔어요 ! 제주항공 부산 괌 노선 비행기 내부는 어떠한지 괌 입국신고서 작성방법과 무료로 제주항공 좌석지정 방법 등 궁금해하셨을 내용을 알려드리려고 해요 ~ 부산에서 출발하는 괌 노선 비행기는 인천공항에 비해...</t>
  </si>
  <si>
    <t>새롭게 무안공항에 제주항공 국제선이 개항했다는 소식을 들었어요. 우와 대박. 저는 군산에 살고 있어서 대구나 청주 국제공항까지 가기가... 마침 제주항공의 모델이기도 하죠 무안 공항에서 바로 탈 수 있는 제주항공 국제선 노선들은 타이베이, 다낭, 방콕, 오사카 입니다. 가격이 얼마나 싼지...</t>
  </si>
  <si>
    <t>티티키 시코쿠의 마쓰야마노선은 아시아나항공이 운항하다가 중단한것을 제주항공이 주5회로 재운항하고있다 가격적 탄력성 적극적인 현지... 변해야한다 제주항공이 제주를넘어 세계로 나가며 차별화하고있다 다른 저가항공과다르게 ㅡ포인트도 잘관리한다 그리고 앱도 상당히 잘...</t>
  </si>
  <si>
    <t>제주항공 7C3106편 인천 - 괌 노선 탑승 후기 눈이 시릴 정도로 푸른 바다와 365일 따뜻한 날씨를 즐길 수 있는 괌은 다양한 액티비티는 물론 쇼핑과... 인천-괌 노선은 대한민국의 대표 LCC 항공사인 제주항공을 타고 떠났습니다. 괌이 아이들과 함께하는 가족 단위 여행객이 많은 만큼 기내 서비스는...</t>
  </si>
  <si>
    <r>
      <rPr>
        <b/>
        <i/>
        <sz val="11"/>
        <color theme="1"/>
        <rFont val="맑은 고딕"/>
        <family val="3"/>
        <charset val="129"/>
      </rPr>
      <t>→</t>
    </r>
    <r>
      <rPr>
        <b/>
        <i/>
        <sz val="11"/>
        <color theme="1"/>
        <rFont val="Calibri"/>
        <family val="2"/>
        <charset val="129"/>
      </rPr>
      <t xml:space="preserve"> 지방에서 출발하는 노선, 신규로 개항하는 노선이 가장 긍정적인 영향을 미친다. </t>
    </r>
  </si>
  <si>
    <t>일본을 다녀올 때마다 착실하게 제주항공을 이용했고 그동안 연차 찬스로 다녀왔던 여행의 흔적들이 제주항공 일본 패스 스탬프로 하나 둘 모이기 시작했고 (제주항공으로 일본 노선 왕복 여행에 한해서 2016. 6월부터 2018. 5월까지 진행한 이벤트) 열심히도 돌아다닌 덕분에 일본 왕복 항공권이 1매...</t>
  </si>
  <si>
    <t>4. 저가항공에 있어서 가격은 크게 중요하지 않은 요소 / 오히려 다양한 노선 취득이 더 중요한 요소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</si>
</sst>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font>
      <sz val="11"/>
      <color theme="1"/>
      <name val="Calibri"/>
      <family val="2"/>
      <charset val="129"/>
      <scheme val="minor"/>
    </font>
    <font>
      <sz val="11"/>
      <color theme="1"/>
      <name val="Calibri"/>
      <family val="2"/>
      <charset val="129"/>
      <scheme val="minor"/>
    </font>
    <font>
      <sz val="20"/>
      <color theme="1"/>
      <name val="Calibri"/>
      <family val="2"/>
      <charset val="129"/>
      <scheme val="minor"/>
    </font>
    <font>
      <b/>
      <sz val="20"/>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b/>
      <i/>
      <sz val="11"/>
      <color theme="1"/>
      <name val="Calibri"/>
      <family val="3"/>
      <charset val="129"/>
    </font>
    <font>
      <b/>
      <i/>
      <sz val="11"/>
      <color theme="1"/>
      <name val="맑은 고딕"/>
      <family val="3"/>
      <charset val="129"/>
    </font>
    <font>
      <b/>
      <i/>
      <sz val="11"/>
      <color theme="1"/>
      <name val="Calibri"/>
      <family val="2"/>
      <charset val="129"/>
    </font>
    <font>
      <b/>
      <i/>
      <sz val="11"/>
      <color theme="1"/>
      <name val="Calibri"/>
      <family val="2"/>
      <charset val="129"/>
      <scheme val="minor"/>
    </font>
    <font>
      <sz val="11"/>
      <color rgb="FF000000"/>
      <name val="Calibri"/>
      <family val="2"/>
    </font>
  </fonts>
  <fills count="13">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
      <patternFill patternType="solid">
        <fgColor theme="4" tint="0.79998168889431442"/>
        <bgColor indexed="64"/>
      </patternFill>
    </fill>
  </fills>
  <borders count="6">
    <border>
      <left/>
      <right/>
      <top/>
      <bottom/>
      <diagonal/>
    </border>
    <border>
      <left/>
      <right/>
      <top style="thin">
        <color indexed="64"/>
      </top>
      <bottom style="double">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2" borderId="0" xfId="0" applyFill="1"/>
    <xf numFmtId="0" fontId="0" fillId="3" borderId="0" xfId="0" applyFill="1"/>
    <xf numFmtId="0" fontId="0" fillId="0" borderId="0" xfId="0" applyFill="1" applyBorder="1"/>
    <xf numFmtId="0" fontId="0" fillId="0" borderId="0" xfId="0" applyAlignment="1">
      <alignment wrapText="1"/>
    </xf>
    <xf numFmtId="0" fontId="0" fillId="0" borderId="0" xfId="0" applyFill="1" applyBorder="1" applyAlignment="1">
      <alignment wrapText="1"/>
    </xf>
    <xf numFmtId="0" fontId="0" fillId="4" borderId="0" xfId="0" applyFill="1"/>
    <xf numFmtId="0" fontId="0" fillId="4" borderId="0" xfId="0" applyFill="1" applyAlignment="1">
      <alignment wrapText="1"/>
    </xf>
    <xf numFmtId="0" fontId="0" fillId="5" borderId="1" xfId="0" applyFill="1" applyBorder="1"/>
    <xf numFmtId="0" fontId="0" fillId="5" borderId="1" xfId="0" applyFill="1" applyBorder="1" applyAlignment="1">
      <alignment wrapText="1"/>
    </xf>
    <xf numFmtId="0" fontId="0" fillId="6" borderId="0" xfId="0" applyFill="1"/>
    <xf numFmtId="0" fontId="2" fillId="0" borderId="0" xfId="0" applyFont="1"/>
    <xf numFmtId="0" fontId="3" fillId="0" borderId="0" xfId="0" applyFont="1"/>
    <xf numFmtId="0" fontId="4" fillId="0" borderId="0" xfId="0" applyFont="1"/>
    <xf numFmtId="0" fontId="0" fillId="0" borderId="3" xfId="0" applyBorder="1"/>
    <xf numFmtId="0" fontId="0" fillId="0" borderId="5" xfId="0" applyBorder="1"/>
    <xf numFmtId="0" fontId="0" fillId="6" borderId="4" xfId="0" applyFill="1" applyBorder="1" applyAlignment="1">
      <alignment horizontal="center"/>
    </xf>
    <xf numFmtId="0" fontId="0" fillId="0" borderId="0" xfId="0" applyAlignment="1">
      <alignment vertical="center"/>
    </xf>
    <xf numFmtId="0" fontId="5" fillId="0" borderId="0" xfId="0" applyFont="1" applyAlignment="1">
      <alignment vertical="center"/>
    </xf>
    <xf numFmtId="1" fontId="0" fillId="0" borderId="0" xfId="0" applyNumberFormat="1" applyAlignment="1">
      <alignment vertical="center"/>
    </xf>
    <xf numFmtId="1" fontId="0" fillId="0" borderId="0" xfId="0" applyNumberFormat="1"/>
    <xf numFmtId="0" fontId="0" fillId="8" borderId="0" xfId="0" applyFill="1" applyAlignment="1">
      <alignment vertical="center"/>
    </xf>
    <xf numFmtId="0" fontId="5" fillId="5" borderId="0" xfId="0" applyFont="1" applyFill="1" applyAlignment="1">
      <alignment vertical="center"/>
    </xf>
    <xf numFmtId="0" fontId="0" fillId="5" borderId="0" xfId="0" applyFill="1" applyAlignment="1">
      <alignment vertical="center"/>
    </xf>
    <xf numFmtId="164" fontId="0" fillId="9" borderId="0" xfId="1" applyNumberFormat="1" applyFont="1" applyFill="1" applyAlignment="1">
      <alignment vertical="center"/>
    </xf>
    <xf numFmtId="1" fontId="0" fillId="6" borderId="0" xfId="0" applyNumberFormat="1" applyFill="1"/>
    <xf numFmtId="0" fontId="0" fillId="3" borderId="0" xfId="0" applyFill="1" applyAlignment="1">
      <alignment wrapText="1"/>
    </xf>
    <xf numFmtId="0" fontId="0" fillId="10" borderId="0" xfId="0" applyFill="1" applyAlignment="1">
      <alignment vertical="center"/>
    </xf>
    <xf numFmtId="1" fontId="0" fillId="10" borderId="0" xfId="0" applyNumberFormat="1" applyFill="1" applyAlignment="1">
      <alignment vertical="center"/>
    </xf>
    <xf numFmtId="164" fontId="0" fillId="0" borderId="0" xfId="1" applyNumberFormat="1" applyFont="1"/>
    <xf numFmtId="164" fontId="0" fillId="0" borderId="0" xfId="0" applyNumberFormat="1"/>
    <xf numFmtId="0" fontId="0" fillId="11" borderId="0" xfId="0" applyFill="1" applyAlignment="1">
      <alignment vertical="center"/>
    </xf>
    <xf numFmtId="1" fontId="0" fillId="11" borderId="0" xfId="0" applyNumberFormat="1" applyFill="1" applyAlignment="1">
      <alignment vertical="center"/>
    </xf>
    <xf numFmtId="0" fontId="0" fillId="12" borderId="0" xfId="0" applyFill="1" applyAlignment="1">
      <alignment vertical="center"/>
    </xf>
    <xf numFmtId="1" fontId="0" fillId="12" borderId="0" xfId="0" applyNumberFormat="1" applyFill="1" applyAlignment="1">
      <alignment vertical="center"/>
    </xf>
    <xf numFmtId="0" fontId="6" fillId="0" borderId="0" xfId="0" applyFont="1"/>
    <xf numFmtId="0" fontId="0" fillId="12" borderId="0" xfId="0" applyFill="1"/>
    <xf numFmtId="0" fontId="0" fillId="5" borderId="0" xfId="0" applyFill="1"/>
    <xf numFmtId="0" fontId="7" fillId="0" borderId="0" xfId="0" applyFont="1"/>
    <xf numFmtId="0" fontId="10" fillId="0" borderId="0" xfId="0" applyFont="1"/>
    <xf numFmtId="0" fontId="0" fillId="0" borderId="2" xfId="0" applyBorder="1" applyAlignment="1">
      <alignment horizontal="center" wrapText="1"/>
    </xf>
    <xf numFmtId="0" fontId="0" fillId="0" borderId="0" xfId="0" applyAlignment="1">
      <alignment horizontal="center" wrapText="1"/>
    </xf>
    <xf numFmtId="0" fontId="5" fillId="7" borderId="0" xfId="0" applyFont="1" applyFill="1" applyAlignment="1">
      <alignment horizontal="center" vertical="center"/>
    </xf>
  </cellXfs>
  <cellStyles count="2">
    <cellStyle name="백분율" xfId="1" builtinId="5"/>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노선에 대한 관심도</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빈도분석결과_매크로포함!$B$64:$B$67</c:f>
              <c:strCache>
                <c:ptCount val="4"/>
                <c:pt idx="0">
                  <c:v>항공사전체</c:v>
                </c:pt>
                <c:pt idx="1">
                  <c:v>대한항공</c:v>
                </c:pt>
                <c:pt idx="2">
                  <c:v>아시아나항공</c:v>
                </c:pt>
                <c:pt idx="3">
                  <c:v>저가항공</c:v>
                </c:pt>
              </c:strCache>
            </c:strRef>
          </c:cat>
          <c:val>
            <c:numRef>
              <c:f>빈도분석결과_매크로포함!$D$64:$D$67</c:f>
              <c:numCache>
                <c:formatCode>0.000%</c:formatCode>
                <c:ptCount val="4"/>
                <c:pt idx="0">
                  <c:v>1.6761904761904763E-2</c:v>
                </c:pt>
                <c:pt idx="1">
                  <c:v>1.3162705667276051E-2</c:v>
                </c:pt>
                <c:pt idx="2">
                  <c:v>2.4440684339161498E-2</c:v>
                </c:pt>
                <c:pt idx="3">
                  <c:v>0.10383597883597884</c:v>
                </c:pt>
              </c:numCache>
            </c:numRef>
          </c:val>
          <c:extLst>
            <c:ext xmlns:c16="http://schemas.microsoft.com/office/drawing/2014/chart" uri="{C3380CC4-5D6E-409C-BE32-E72D297353CC}">
              <c16:uniqueId val="{00000000-5F7A-4B73-9D86-EE029852A520}"/>
            </c:ext>
          </c:extLst>
        </c:ser>
        <c:dLbls>
          <c:showLegendKey val="0"/>
          <c:showVal val="0"/>
          <c:showCatName val="0"/>
          <c:showSerName val="0"/>
          <c:showPercent val="0"/>
          <c:showBubbleSize val="0"/>
        </c:dLbls>
        <c:gapWidth val="219"/>
        <c:overlap val="-27"/>
        <c:axId val="564337136"/>
        <c:axId val="351447744"/>
      </c:barChart>
      <c:catAx>
        <c:axId val="5643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47744"/>
        <c:crosses val="autoZero"/>
        <c:auto val="1"/>
        <c:lblAlgn val="ctr"/>
        <c:lblOffset val="100"/>
        <c:noMultiLvlLbl val="0"/>
      </c:catAx>
      <c:valAx>
        <c:axId val="3514477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337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서비스에 대한 관심도</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빈도분석결과_매크로포함!$B$58:$B$61</c:f>
              <c:strCache>
                <c:ptCount val="4"/>
                <c:pt idx="0">
                  <c:v>항공사전체</c:v>
                </c:pt>
                <c:pt idx="1">
                  <c:v>대한항공</c:v>
                </c:pt>
                <c:pt idx="2">
                  <c:v>아시아나항공</c:v>
                </c:pt>
                <c:pt idx="3">
                  <c:v>저가항공</c:v>
                </c:pt>
              </c:strCache>
            </c:strRef>
          </c:cat>
          <c:val>
            <c:numRef>
              <c:f>빈도분석결과_매크로포함!$D$58:$D$61</c:f>
              <c:numCache>
                <c:formatCode>0.000%</c:formatCode>
                <c:ptCount val="4"/>
                <c:pt idx="0">
                  <c:v>1.8476190476190476E-2</c:v>
                </c:pt>
                <c:pt idx="1">
                  <c:v>5.5027422303473489E-2</c:v>
                </c:pt>
                <c:pt idx="2">
                  <c:v>0.11242714796014289</c:v>
                </c:pt>
                <c:pt idx="3">
                  <c:v>1.0141093474426807E-2</c:v>
                </c:pt>
              </c:numCache>
            </c:numRef>
          </c:val>
          <c:extLst>
            <c:ext xmlns:c16="http://schemas.microsoft.com/office/drawing/2014/chart" uri="{C3380CC4-5D6E-409C-BE32-E72D297353CC}">
              <c16:uniqueId val="{00000000-BE7B-4132-9415-2EA5CD5D8BE7}"/>
            </c:ext>
          </c:extLst>
        </c:ser>
        <c:dLbls>
          <c:showLegendKey val="0"/>
          <c:showVal val="0"/>
          <c:showCatName val="0"/>
          <c:showSerName val="0"/>
          <c:showPercent val="0"/>
          <c:showBubbleSize val="0"/>
        </c:dLbls>
        <c:gapWidth val="219"/>
        <c:overlap val="-27"/>
        <c:axId val="187042800"/>
        <c:axId val="575122240"/>
      </c:barChart>
      <c:catAx>
        <c:axId val="18704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122240"/>
        <c:crosses val="autoZero"/>
        <c:auto val="1"/>
        <c:lblAlgn val="ctr"/>
        <c:lblOffset val="100"/>
        <c:noMultiLvlLbl val="0"/>
      </c:catAx>
      <c:valAx>
        <c:axId val="5751222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4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마일리지에 대한 관심도</a:t>
            </a:r>
            <a:endParaRPr lang="en-US" altLang="ko-K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결과분석!$J$4:$J$7</c:f>
              <c:strCache>
                <c:ptCount val="4"/>
                <c:pt idx="0">
                  <c:v>항공사전체</c:v>
                </c:pt>
                <c:pt idx="1">
                  <c:v>대한항공</c:v>
                </c:pt>
                <c:pt idx="2">
                  <c:v>아시아나항공</c:v>
                </c:pt>
                <c:pt idx="3">
                  <c:v>저가항공</c:v>
                </c:pt>
              </c:strCache>
            </c:strRef>
          </c:cat>
          <c:val>
            <c:numRef>
              <c:f>결과분석!$P$4:$P$7</c:f>
              <c:numCache>
                <c:formatCode>0.000%</c:formatCode>
                <c:ptCount val="4"/>
                <c:pt idx="0">
                  <c:v>4.304761904761905E-2</c:v>
                </c:pt>
                <c:pt idx="1">
                  <c:v>5.7769652650822671E-2</c:v>
                </c:pt>
                <c:pt idx="2">
                  <c:v>0.11242714796014289</c:v>
                </c:pt>
                <c:pt idx="3">
                  <c:v>1.0141093474426807E-2</c:v>
                </c:pt>
              </c:numCache>
            </c:numRef>
          </c:val>
          <c:extLst>
            <c:ext xmlns:c16="http://schemas.microsoft.com/office/drawing/2014/chart" uri="{C3380CC4-5D6E-409C-BE32-E72D297353CC}">
              <c16:uniqueId val="{00000000-F0C1-4FE3-9A45-61860A991F0D}"/>
            </c:ext>
          </c:extLst>
        </c:ser>
        <c:dLbls>
          <c:showLegendKey val="0"/>
          <c:showVal val="0"/>
          <c:showCatName val="0"/>
          <c:showSerName val="0"/>
          <c:showPercent val="0"/>
          <c:showBubbleSize val="0"/>
        </c:dLbls>
        <c:gapWidth val="219"/>
        <c:overlap val="-27"/>
        <c:axId val="353848336"/>
        <c:axId val="567766400"/>
      </c:barChart>
      <c:catAx>
        <c:axId val="35384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766400"/>
        <c:crosses val="autoZero"/>
        <c:auto val="1"/>
        <c:lblAlgn val="ctr"/>
        <c:lblOffset val="100"/>
        <c:noMultiLvlLbl val="0"/>
      </c:catAx>
      <c:valAx>
        <c:axId val="5677664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84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292100</xdr:colOff>
          <xdr:row>0</xdr:row>
          <xdr:rowOff>139700</xdr:rowOff>
        </xdr:from>
        <xdr:to>
          <xdr:col>4</xdr:col>
          <xdr:colOff>266700</xdr:colOff>
          <xdr:row>3</xdr:row>
          <xdr:rowOff>25400</xdr:rowOff>
        </xdr:to>
        <xdr:sp macro="" textlink="">
          <xdr:nvSpPr>
            <xdr:cNvPr id="16388" name="Button 4" hidden="1">
              <a:extLst>
                <a:ext uri="{63B3BB69-23CF-44E3-9099-C40C66FF867C}">
                  <a14:compatExt spid="_x0000_s16388"/>
                </a:ext>
                <a:ext uri="{FF2B5EF4-FFF2-40B4-BE49-F238E27FC236}">
                  <a16:creationId xmlns:a16="http://schemas.microsoft.com/office/drawing/2014/main" id="{00000000-0008-0000-0B00-000004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rPr>
                <a:t>노선그래프</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654050</xdr:colOff>
          <xdr:row>0</xdr:row>
          <xdr:rowOff>146050</xdr:rowOff>
        </xdr:from>
        <xdr:to>
          <xdr:col>6</xdr:col>
          <xdr:colOff>12700</xdr:colOff>
          <xdr:row>3</xdr:row>
          <xdr:rowOff>19050</xdr:rowOff>
        </xdr:to>
        <xdr:sp macro="" textlink="">
          <xdr:nvSpPr>
            <xdr:cNvPr id="16389" name="Button 5" hidden="1">
              <a:extLst>
                <a:ext uri="{63B3BB69-23CF-44E3-9099-C40C66FF867C}">
                  <a14:compatExt spid="_x0000_s16389"/>
                </a:ext>
                <a:ext uri="{FF2B5EF4-FFF2-40B4-BE49-F238E27FC236}">
                  <a16:creationId xmlns:a16="http://schemas.microsoft.com/office/drawing/2014/main" id="{00000000-0008-0000-0B00-0000054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rPr>
                <a:t>서비스 그래프</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304800</xdr:colOff>
      <xdr:row>16</xdr:row>
      <xdr:rowOff>165100</xdr:rowOff>
    </xdr:to>
    <xdr:graphicFrame macro="">
      <xdr:nvGraphicFramePr>
        <xdr:cNvPr id="2" name="차트 1">
          <a:extLst>
            <a:ext uri="{FF2B5EF4-FFF2-40B4-BE49-F238E27FC236}">
              <a16:creationId xmlns:a16="http://schemas.microsoft.com/office/drawing/2014/main" id="{32DA0278-BF11-4B77-A83E-3DC32EAA5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38100</xdr:rowOff>
    </xdr:from>
    <xdr:to>
      <xdr:col>7</xdr:col>
      <xdr:colOff>304800</xdr:colOff>
      <xdr:row>32</xdr:row>
      <xdr:rowOff>19050</xdr:rowOff>
    </xdr:to>
    <xdr:graphicFrame macro="">
      <xdr:nvGraphicFramePr>
        <xdr:cNvPr id="3" name="차트 2">
          <a:extLst>
            <a:ext uri="{FF2B5EF4-FFF2-40B4-BE49-F238E27FC236}">
              <a16:creationId xmlns:a16="http://schemas.microsoft.com/office/drawing/2014/main" id="{DE2F0793-EA65-45C6-90BF-BE86C964E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101600</xdr:rowOff>
    </xdr:from>
    <xdr:to>
      <xdr:col>7</xdr:col>
      <xdr:colOff>304800</xdr:colOff>
      <xdr:row>47</xdr:row>
      <xdr:rowOff>82550</xdr:rowOff>
    </xdr:to>
    <xdr:graphicFrame macro="">
      <xdr:nvGraphicFramePr>
        <xdr:cNvPr id="4" name="차트 3">
          <a:extLst>
            <a:ext uri="{FF2B5EF4-FFF2-40B4-BE49-F238E27FC236}">
              <a16:creationId xmlns:a16="http://schemas.microsoft.com/office/drawing/2014/main" id="{7C727949-564E-416A-836D-556A32011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1070B-7613-444B-B171-6C906BC989F9}">
  <sheetPr codeName="Sheet1"/>
  <dimension ref="A1:J45"/>
  <sheetViews>
    <sheetView workbookViewId="0">
      <selection activeCell="B10" sqref="B10"/>
    </sheetView>
  </sheetViews>
  <sheetFormatPr defaultRowHeight="14.5"/>
  <cols>
    <col min="1" max="1" width="24.453125" customWidth="1"/>
    <col min="2" max="2" width="31.6328125" customWidth="1"/>
    <col min="3" max="3" width="24.6328125" customWidth="1"/>
    <col min="4" max="4" width="24.7265625" customWidth="1"/>
    <col min="5" max="5" width="27.26953125" style="4" customWidth="1"/>
    <col min="6" max="6" width="27.08984375" customWidth="1"/>
    <col min="7" max="7" width="23.90625" style="4" customWidth="1"/>
    <col min="8" max="8" width="29.81640625" style="4" customWidth="1"/>
    <col min="9" max="9" width="30.7265625" customWidth="1"/>
  </cols>
  <sheetData>
    <row r="1" spans="1:10" ht="26">
      <c r="A1" s="12" t="s">
        <v>0</v>
      </c>
      <c r="B1" s="11"/>
    </row>
    <row r="2" spans="1:10" ht="26">
      <c r="A2" s="13" t="s">
        <v>499</v>
      </c>
      <c r="B2" s="11"/>
    </row>
    <row r="3" spans="1:10">
      <c r="A3" s="1" t="s">
        <v>9</v>
      </c>
      <c r="B3" s="6" t="s">
        <v>10</v>
      </c>
      <c r="C3" s="6"/>
      <c r="D3" s="6" t="s">
        <v>11</v>
      </c>
      <c r="E3" s="7"/>
      <c r="F3" s="6" t="s">
        <v>12</v>
      </c>
      <c r="G3" s="7"/>
      <c r="H3" s="7"/>
      <c r="I3" s="6"/>
      <c r="J3" s="6"/>
    </row>
    <row r="4" spans="1:10">
      <c r="A4" s="1" t="s">
        <v>7</v>
      </c>
      <c r="B4" s="6" t="s">
        <v>8</v>
      </c>
      <c r="C4" s="6"/>
      <c r="D4" s="6"/>
      <c r="E4" s="7"/>
      <c r="F4" s="6"/>
      <c r="G4" s="7"/>
      <c r="H4" s="7"/>
      <c r="I4" s="6"/>
      <c r="J4" s="6"/>
    </row>
    <row r="5" spans="1:10">
      <c r="A5" s="1" t="s">
        <v>13</v>
      </c>
      <c r="B5" s="6" t="s">
        <v>14</v>
      </c>
      <c r="C5" s="6"/>
      <c r="D5" s="6" t="s">
        <v>15</v>
      </c>
      <c r="E5" s="7"/>
      <c r="F5" s="6" t="s">
        <v>16</v>
      </c>
      <c r="G5" s="7" t="s">
        <v>17</v>
      </c>
      <c r="H5" s="7" t="s">
        <v>18</v>
      </c>
      <c r="I5" s="6" t="s">
        <v>19</v>
      </c>
      <c r="J5" s="6" t="s">
        <v>20</v>
      </c>
    </row>
    <row r="6" spans="1:10">
      <c r="A6" s="1" t="s">
        <v>485</v>
      </c>
      <c r="B6" s="6" t="s">
        <v>21</v>
      </c>
      <c r="C6" s="6"/>
      <c r="D6" s="6"/>
      <c r="E6" s="7"/>
      <c r="F6" s="6"/>
      <c r="G6" s="7"/>
      <c r="H6" s="7"/>
      <c r="I6" s="6"/>
      <c r="J6" s="6"/>
    </row>
    <row r="7" spans="1:10">
      <c r="A7" s="1" t="s">
        <v>595</v>
      </c>
      <c r="B7" s="6" t="s">
        <v>596</v>
      </c>
      <c r="C7" s="6"/>
      <c r="D7" s="6" t="s">
        <v>597</v>
      </c>
      <c r="E7" s="7"/>
      <c r="F7" s="6" t="s">
        <v>598</v>
      </c>
      <c r="G7" s="7"/>
      <c r="H7" s="7"/>
      <c r="I7" s="6"/>
      <c r="J7" s="6"/>
    </row>
    <row r="8" spans="1:10">
      <c r="A8" s="2"/>
      <c r="B8" s="2"/>
      <c r="C8" s="2"/>
      <c r="D8" s="2"/>
      <c r="E8" s="26"/>
    </row>
    <row r="9" spans="1:10" ht="15" thickBot="1">
      <c r="A9" s="8" t="s">
        <v>2</v>
      </c>
      <c r="B9" s="8" t="s">
        <v>3</v>
      </c>
      <c r="C9" s="8" t="s">
        <v>22</v>
      </c>
      <c r="D9" s="8" t="s">
        <v>23</v>
      </c>
      <c r="E9" s="9" t="s">
        <v>29</v>
      </c>
      <c r="F9" s="8" t="s">
        <v>37</v>
      </c>
      <c r="G9" s="9" t="s">
        <v>4</v>
      </c>
      <c r="H9" s="9" t="s">
        <v>5</v>
      </c>
      <c r="I9" s="8" t="s">
        <v>6</v>
      </c>
    </row>
    <row r="10" spans="1:10" ht="44" thickTop="1">
      <c r="A10" s="10" t="s">
        <v>1</v>
      </c>
      <c r="B10" s="3" t="s">
        <v>25</v>
      </c>
      <c r="C10" s="3" t="s">
        <v>26</v>
      </c>
      <c r="D10" s="3" t="s">
        <v>27</v>
      </c>
      <c r="E10" s="5" t="s">
        <v>32</v>
      </c>
      <c r="F10" s="40" t="s">
        <v>30</v>
      </c>
      <c r="H10" s="4" t="s">
        <v>31</v>
      </c>
    </row>
    <row r="11" spans="1:10">
      <c r="A11" s="10" t="s">
        <v>24</v>
      </c>
      <c r="D11" s="3" t="s">
        <v>28</v>
      </c>
      <c r="E11" s="5"/>
      <c r="F11" s="41"/>
    </row>
    <row r="12" spans="1:10" ht="72.5">
      <c r="A12" s="10"/>
      <c r="B12" t="s">
        <v>33</v>
      </c>
      <c r="C12" t="s">
        <v>34</v>
      </c>
      <c r="D12" s="3" t="s">
        <v>35</v>
      </c>
      <c r="F12" s="3" t="s">
        <v>36</v>
      </c>
      <c r="G12" s="5" t="s">
        <v>38</v>
      </c>
      <c r="H12" s="5" t="s">
        <v>39</v>
      </c>
      <c r="I12" s="3" t="s">
        <v>41</v>
      </c>
    </row>
    <row r="13" spans="1:10">
      <c r="A13" s="10"/>
    </row>
    <row r="14" spans="1:10" ht="101.5">
      <c r="A14" s="10"/>
      <c r="B14" t="s">
        <v>40</v>
      </c>
      <c r="C14" t="s">
        <v>42</v>
      </c>
      <c r="D14" t="s">
        <v>43</v>
      </c>
      <c r="F14" t="s">
        <v>46</v>
      </c>
      <c r="G14" s="4" t="s">
        <v>49</v>
      </c>
      <c r="H14" s="4" t="s">
        <v>55</v>
      </c>
    </row>
    <row r="15" spans="1:10" ht="43.5">
      <c r="A15" s="10"/>
      <c r="D15" t="s">
        <v>44</v>
      </c>
      <c r="F15" t="s">
        <v>49</v>
      </c>
      <c r="G15" s="4" t="s">
        <v>45</v>
      </c>
      <c r="H15" s="4" t="s">
        <v>50</v>
      </c>
    </row>
    <row r="16" spans="1:10">
      <c r="A16" s="10"/>
    </row>
    <row r="17" spans="1:8" ht="29">
      <c r="A17" s="10"/>
      <c r="B17" t="s">
        <v>51</v>
      </c>
      <c r="C17" t="s">
        <v>52</v>
      </c>
      <c r="D17" t="s">
        <v>35</v>
      </c>
      <c r="F17" t="s">
        <v>53</v>
      </c>
      <c r="G17" s="4" t="s">
        <v>54</v>
      </c>
      <c r="H17" s="4" t="s">
        <v>48</v>
      </c>
    </row>
    <row r="18" spans="1:8">
      <c r="A18" s="10"/>
    </row>
    <row r="19" spans="1:8">
      <c r="A19" s="10" t="s">
        <v>56</v>
      </c>
    </row>
    <row r="20" spans="1:8" ht="29">
      <c r="A20" s="10" t="s">
        <v>57</v>
      </c>
      <c r="B20" t="s">
        <v>58</v>
      </c>
      <c r="C20" t="s">
        <v>59</v>
      </c>
      <c r="G20" s="4" t="s">
        <v>60</v>
      </c>
      <c r="H20" s="4" t="s">
        <v>61</v>
      </c>
    </row>
    <row r="21" spans="1:8">
      <c r="A21" s="10"/>
    </row>
    <row r="22" spans="1:8">
      <c r="A22" s="10"/>
    </row>
    <row r="23" spans="1:8">
      <c r="A23" s="10" t="s">
        <v>62</v>
      </c>
    </row>
    <row r="24" spans="1:8" ht="87">
      <c r="A24" s="10" t="s">
        <v>63</v>
      </c>
      <c r="B24" t="s">
        <v>64</v>
      </c>
      <c r="C24" t="s">
        <v>65</v>
      </c>
      <c r="D24" t="s">
        <v>66</v>
      </c>
      <c r="E24" s="4" t="s">
        <v>67</v>
      </c>
      <c r="H24" s="4" t="s">
        <v>68</v>
      </c>
    </row>
    <row r="25" spans="1:8" ht="58">
      <c r="A25" s="10"/>
      <c r="D25" t="s">
        <v>28</v>
      </c>
      <c r="E25" s="4" t="s">
        <v>76</v>
      </c>
      <c r="F25" s="4" t="s">
        <v>69</v>
      </c>
      <c r="G25" s="4" t="s">
        <v>71</v>
      </c>
      <c r="H25" s="4" t="s">
        <v>72</v>
      </c>
    </row>
    <row r="26" spans="1:8" ht="29">
      <c r="A26" s="10"/>
      <c r="G26" s="4" t="s">
        <v>70</v>
      </c>
      <c r="H26" s="4" t="s">
        <v>73</v>
      </c>
    </row>
    <row r="27" spans="1:8" ht="101.5">
      <c r="A27" s="10"/>
      <c r="B27" s="4" t="s">
        <v>75</v>
      </c>
      <c r="C27" t="s">
        <v>74</v>
      </c>
      <c r="F27" s="4" t="s">
        <v>69</v>
      </c>
      <c r="G27" s="4" t="s">
        <v>79</v>
      </c>
      <c r="H27" s="4" t="s">
        <v>77</v>
      </c>
    </row>
    <row r="28" spans="1:8" ht="43.5">
      <c r="A28" s="10"/>
      <c r="G28" s="4" t="s">
        <v>78</v>
      </c>
    </row>
    <row r="29" spans="1:8">
      <c r="A29" s="10"/>
      <c r="F29" s="4"/>
    </row>
    <row r="30" spans="1:8" ht="101.5">
      <c r="A30" s="10"/>
      <c r="B30" s="4" t="s">
        <v>83</v>
      </c>
      <c r="C30" t="s">
        <v>84</v>
      </c>
      <c r="F30" s="4" t="s">
        <v>69</v>
      </c>
      <c r="G30" s="4" t="s">
        <v>80</v>
      </c>
      <c r="H30" s="4" t="s">
        <v>82</v>
      </c>
    </row>
    <row r="31" spans="1:8" ht="43.5">
      <c r="A31" s="10"/>
      <c r="G31" s="4" t="s">
        <v>81</v>
      </c>
    </row>
    <row r="32" spans="1:8">
      <c r="A32" s="10"/>
    </row>
    <row r="33" spans="1:2">
      <c r="A33" s="10" t="s">
        <v>85</v>
      </c>
      <c r="B33" t="s">
        <v>87</v>
      </c>
    </row>
    <row r="34" spans="1:2">
      <c r="A34" s="10" t="s">
        <v>86</v>
      </c>
    </row>
    <row r="35" spans="1:2">
      <c r="A35" s="10"/>
    </row>
    <row r="36" spans="1:2">
      <c r="A36" s="10"/>
    </row>
    <row r="37" spans="1:2">
      <c r="A37" s="10"/>
    </row>
    <row r="38" spans="1:2">
      <c r="A38" s="10"/>
    </row>
    <row r="39" spans="1:2">
      <c r="A39" s="10" t="s">
        <v>88</v>
      </c>
    </row>
    <row r="40" spans="1:2">
      <c r="A40" s="10" t="s">
        <v>89</v>
      </c>
    </row>
    <row r="41" spans="1:2">
      <c r="A41" s="10"/>
    </row>
    <row r="42" spans="1:2">
      <c r="A42" s="10"/>
    </row>
    <row r="43" spans="1:2">
      <c r="A43" s="10"/>
    </row>
    <row r="44" spans="1:2">
      <c r="A44" s="10" t="s">
        <v>90</v>
      </c>
    </row>
    <row r="45" spans="1:2">
      <c r="A45" s="10" t="s">
        <v>91</v>
      </c>
    </row>
  </sheetData>
  <mergeCells count="1">
    <mergeCell ref="F10: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1EEF-1F0D-4B23-93FF-7A27D3584ADA}">
  <sheetPr codeName="Sheet2"/>
  <dimension ref="A1:E50"/>
  <sheetViews>
    <sheetView workbookViewId="0">
      <selection activeCell="A56" sqref="A56"/>
    </sheetView>
  </sheetViews>
  <sheetFormatPr defaultRowHeight="14.5"/>
  <cols>
    <col min="1" max="1" width="12.90625" customWidth="1"/>
    <col min="2" max="2" width="14.81640625" customWidth="1"/>
  </cols>
  <sheetData>
    <row r="1" spans="1:5">
      <c r="A1" s="10" t="s">
        <v>130</v>
      </c>
      <c r="B1" s="10"/>
      <c r="C1" s="10"/>
      <c r="D1" s="10"/>
      <c r="E1" s="10"/>
    </row>
    <row r="3" spans="1:5">
      <c r="A3" t="s">
        <v>92</v>
      </c>
    </row>
    <row r="4" spans="1:5">
      <c r="A4" t="s">
        <v>93</v>
      </c>
    </row>
    <row r="6" spans="1:5">
      <c r="A6" t="s">
        <v>94</v>
      </c>
    </row>
    <row r="7" spans="1:5">
      <c r="A7" t="s">
        <v>95</v>
      </c>
    </row>
    <row r="8" spans="1:5">
      <c r="A8" t="s">
        <v>96</v>
      </c>
    </row>
    <row r="9" spans="1:5">
      <c r="A9" t="s">
        <v>97</v>
      </c>
    </row>
    <row r="11" spans="1:5">
      <c r="A11" t="s">
        <v>98</v>
      </c>
    </row>
    <row r="12" spans="1:5">
      <c r="A12" t="s">
        <v>99</v>
      </c>
    </row>
    <row r="13" spans="1:5">
      <c r="A13" t="s">
        <v>100</v>
      </c>
    </row>
    <row r="14" spans="1:5">
      <c r="A14" t="s">
        <v>101</v>
      </c>
    </row>
    <row r="16" spans="1:5">
      <c r="A16" t="s">
        <v>102</v>
      </c>
    </row>
    <row r="17" spans="1:1">
      <c r="A17" t="s">
        <v>103</v>
      </c>
    </row>
    <row r="18" spans="1:1">
      <c r="A18" t="s">
        <v>104</v>
      </c>
    </row>
    <row r="19" spans="1:1">
      <c r="A19" t="s">
        <v>105</v>
      </c>
    </row>
    <row r="20" spans="1:1">
      <c r="A20" t="s">
        <v>106</v>
      </c>
    </row>
    <row r="21" spans="1:1">
      <c r="A21" t="s">
        <v>107</v>
      </c>
    </row>
    <row r="22" spans="1:1">
      <c r="A22" t="s">
        <v>104</v>
      </c>
    </row>
    <row r="23" spans="1:1">
      <c r="A23" t="s">
        <v>108</v>
      </c>
    </row>
    <row r="24" spans="1:1">
      <c r="A24" t="s">
        <v>109</v>
      </c>
    </row>
    <row r="26" spans="1:1">
      <c r="A26" t="s">
        <v>110</v>
      </c>
    </row>
    <row r="27" spans="1:1">
      <c r="A27" t="s">
        <v>111</v>
      </c>
    </row>
    <row r="28" spans="1:1">
      <c r="A28" t="s">
        <v>112</v>
      </c>
    </row>
    <row r="29" spans="1:1">
      <c r="A29" t="s">
        <v>113</v>
      </c>
    </row>
    <row r="31" spans="1:1">
      <c r="A31" t="s">
        <v>114</v>
      </c>
    </row>
    <row r="32" spans="1:1">
      <c r="A32" t="s">
        <v>115</v>
      </c>
    </row>
    <row r="33" spans="1:1">
      <c r="A33" t="s">
        <v>116</v>
      </c>
    </row>
    <row r="34" spans="1:1">
      <c r="A34" t="s">
        <v>117</v>
      </c>
    </row>
    <row r="35" spans="1:1">
      <c r="A35" t="s">
        <v>118</v>
      </c>
    </row>
    <row r="36" spans="1:1">
      <c r="A36" t="s">
        <v>116</v>
      </c>
    </row>
    <row r="38" spans="1:1">
      <c r="A38" t="s">
        <v>119</v>
      </c>
    </row>
    <row r="39" spans="1:1">
      <c r="A39" t="s">
        <v>120</v>
      </c>
    </row>
    <row r="40" spans="1:1">
      <c r="A40" t="s">
        <v>121</v>
      </c>
    </row>
    <row r="42" spans="1:1">
      <c r="A42" t="s">
        <v>122</v>
      </c>
    </row>
    <row r="43" spans="1:1">
      <c r="A43" t="s">
        <v>123</v>
      </c>
    </row>
    <row r="44" spans="1:1">
      <c r="A44" t="s">
        <v>124</v>
      </c>
    </row>
    <row r="45" spans="1:1">
      <c r="A45" t="s">
        <v>125</v>
      </c>
    </row>
    <row r="47" spans="1:1">
      <c r="A47" t="s">
        <v>126</v>
      </c>
    </row>
    <row r="48" spans="1:1">
      <c r="A48" t="s">
        <v>127</v>
      </c>
    </row>
    <row r="49" spans="1:1">
      <c r="A49" t="s">
        <v>128</v>
      </c>
    </row>
    <row r="50" spans="1:1">
      <c r="A50"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5DE9-78E6-4C1D-B0AC-D5878A40046A}">
  <sheetPr codeName="Sheet3"/>
  <dimension ref="A1:G84"/>
  <sheetViews>
    <sheetView workbookViewId="0">
      <selection activeCell="E4" sqref="E4:E5"/>
    </sheetView>
  </sheetViews>
  <sheetFormatPr defaultRowHeight="14.5"/>
  <sheetData>
    <row r="1" spans="1:7">
      <c r="A1" s="10" t="s">
        <v>191</v>
      </c>
      <c r="B1" s="10"/>
      <c r="C1" s="10"/>
      <c r="D1" s="10"/>
      <c r="E1" s="10"/>
      <c r="F1" s="10"/>
      <c r="G1" s="10"/>
    </row>
    <row r="2" spans="1:7">
      <c r="A2" t="s">
        <v>92</v>
      </c>
    </row>
    <row r="3" spans="1:7">
      <c r="A3" t="s">
        <v>93</v>
      </c>
    </row>
    <row r="5" spans="1:7">
      <c r="A5" t="s">
        <v>94</v>
      </c>
    </row>
    <row r="6" spans="1:7">
      <c r="A6" t="s">
        <v>131</v>
      </c>
    </row>
    <row r="7" spans="1:7">
      <c r="A7" t="s">
        <v>132</v>
      </c>
    </row>
    <row r="8" spans="1:7">
      <c r="A8" t="s">
        <v>133</v>
      </c>
    </row>
    <row r="9" spans="1:7">
      <c r="A9" t="s">
        <v>134</v>
      </c>
    </row>
    <row r="10" spans="1:7">
      <c r="A10" t="s">
        <v>135</v>
      </c>
    </row>
    <row r="11" spans="1:7">
      <c r="A11" t="s">
        <v>136</v>
      </c>
    </row>
    <row r="12" spans="1:7">
      <c r="A12" t="s">
        <v>137</v>
      </c>
    </row>
    <row r="13" spans="1:7">
      <c r="A13" t="s">
        <v>138</v>
      </c>
    </row>
    <row r="14" spans="1:7">
      <c r="A14" t="s">
        <v>139</v>
      </c>
    </row>
    <row r="17" spans="1:1">
      <c r="A17" t="s">
        <v>39</v>
      </c>
    </row>
    <row r="20" spans="1:1">
      <c r="A20" t="s">
        <v>140</v>
      </c>
    </row>
    <row r="21" spans="1:1">
      <c r="A21" t="s">
        <v>141</v>
      </c>
    </row>
    <row r="22" spans="1:1">
      <c r="A22" t="s">
        <v>142</v>
      </c>
    </row>
    <row r="23" spans="1:1">
      <c r="A23" t="s">
        <v>143</v>
      </c>
    </row>
    <row r="24" spans="1:1">
      <c r="A24" t="s">
        <v>112</v>
      </c>
    </row>
    <row r="25" spans="1:1">
      <c r="A25" t="s">
        <v>144</v>
      </c>
    </row>
    <row r="26" spans="1:1">
      <c r="A26" t="s">
        <v>145</v>
      </c>
    </row>
    <row r="27" spans="1:1">
      <c r="A27" t="s">
        <v>146</v>
      </c>
    </row>
    <row r="28" spans="1:1">
      <c r="A28" t="s">
        <v>116</v>
      </c>
    </row>
    <row r="30" spans="1:1">
      <c r="A30" t="s">
        <v>147</v>
      </c>
    </row>
    <row r="31" spans="1:1">
      <c r="A31" t="s">
        <v>148</v>
      </c>
    </row>
    <row r="33" spans="1:1">
      <c r="A33" t="s">
        <v>149</v>
      </c>
    </row>
    <row r="34" spans="1:1">
      <c r="A34" t="s">
        <v>150</v>
      </c>
    </row>
    <row r="36" spans="1:1">
      <c r="A36" t="s">
        <v>151</v>
      </c>
    </row>
    <row r="37" spans="1:1">
      <c r="A37" t="s">
        <v>152</v>
      </c>
    </row>
    <row r="39" spans="1:1">
      <c r="A39" t="s">
        <v>153</v>
      </c>
    </row>
    <row r="40" spans="1:1">
      <c r="A40" t="s">
        <v>154</v>
      </c>
    </row>
    <row r="41" spans="1:1">
      <c r="A41" t="s">
        <v>155</v>
      </c>
    </row>
    <row r="42" spans="1:1">
      <c r="A42" t="s">
        <v>156</v>
      </c>
    </row>
    <row r="43" spans="1:1">
      <c r="A43" t="s">
        <v>157</v>
      </c>
    </row>
    <row r="44" spans="1:1">
      <c r="A44" t="s">
        <v>158</v>
      </c>
    </row>
    <row r="45" spans="1:1">
      <c r="A45" t="s">
        <v>159</v>
      </c>
    </row>
    <row r="46" spans="1:1">
      <c r="A46" t="s">
        <v>156</v>
      </c>
    </row>
    <row r="47" spans="1:1">
      <c r="A47" t="s">
        <v>160</v>
      </c>
    </row>
    <row r="48" spans="1:1">
      <c r="A48" t="s">
        <v>161</v>
      </c>
    </row>
    <row r="49" spans="1:1">
      <c r="A49" t="s">
        <v>162</v>
      </c>
    </row>
    <row r="50" spans="1:1">
      <c r="A50" t="s">
        <v>163</v>
      </c>
    </row>
    <row r="51" spans="1:1">
      <c r="A51" t="s">
        <v>164</v>
      </c>
    </row>
    <row r="53" spans="1:1">
      <c r="A53" t="s">
        <v>165</v>
      </c>
    </row>
    <row r="54" spans="1:1">
      <c r="A54" t="s">
        <v>166</v>
      </c>
    </row>
    <row r="55" spans="1:1">
      <c r="A55" t="s">
        <v>167</v>
      </c>
    </row>
    <row r="57" spans="1:1">
      <c r="A57" t="s">
        <v>168</v>
      </c>
    </row>
    <row r="58" spans="1:1">
      <c r="A58" t="s">
        <v>169</v>
      </c>
    </row>
    <row r="59" spans="1:1">
      <c r="A59" t="s">
        <v>170</v>
      </c>
    </row>
    <row r="60" spans="1:1">
      <c r="A60" t="s">
        <v>171</v>
      </c>
    </row>
    <row r="61" spans="1:1">
      <c r="A61" t="s">
        <v>172</v>
      </c>
    </row>
    <row r="62" spans="1:1">
      <c r="A62" t="s">
        <v>173</v>
      </c>
    </row>
    <row r="63" spans="1:1">
      <c r="A63" t="s">
        <v>174</v>
      </c>
    </row>
    <row r="64" spans="1:1">
      <c r="A64" t="s">
        <v>175</v>
      </c>
    </row>
    <row r="66" spans="1:1">
      <c r="A66" t="s">
        <v>176</v>
      </c>
    </row>
    <row r="68" spans="1:1">
      <c r="A68" t="s">
        <v>177</v>
      </c>
    </row>
    <row r="69" spans="1:1">
      <c r="A69" t="s">
        <v>178</v>
      </c>
    </row>
    <row r="70" spans="1:1">
      <c r="A70" t="s">
        <v>179</v>
      </c>
    </row>
    <row r="71" spans="1:1">
      <c r="A71" t="s">
        <v>180</v>
      </c>
    </row>
    <row r="72" spans="1:1">
      <c r="A72" t="s">
        <v>181</v>
      </c>
    </row>
    <row r="73" spans="1:1">
      <c r="A73" t="s">
        <v>182</v>
      </c>
    </row>
    <row r="74" spans="1:1">
      <c r="A74" t="s">
        <v>183</v>
      </c>
    </row>
    <row r="75" spans="1:1">
      <c r="A75" t="s">
        <v>184</v>
      </c>
    </row>
    <row r="76" spans="1:1">
      <c r="A76" t="s">
        <v>185</v>
      </c>
    </row>
    <row r="77" spans="1:1">
      <c r="A77" t="s">
        <v>156</v>
      </c>
    </row>
    <row r="78" spans="1:1">
      <c r="A78" t="s">
        <v>186</v>
      </c>
    </row>
    <row r="79" spans="1:1">
      <c r="A79" t="s">
        <v>187</v>
      </c>
    </row>
    <row r="80" spans="1:1">
      <c r="A80" t="s">
        <v>188</v>
      </c>
    </row>
    <row r="81" spans="1:1">
      <c r="A81" t="s">
        <v>189</v>
      </c>
    </row>
    <row r="82" spans="1:1">
      <c r="A82" t="s">
        <v>190</v>
      </c>
    </row>
    <row r="84" spans="1:1">
      <c r="A84"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F8CB-098B-4F77-9098-C9FF727A5FF9}">
  <sheetPr codeName="Sheet4"/>
  <dimension ref="A1:H144"/>
  <sheetViews>
    <sheetView workbookViewId="0">
      <selection activeCell="H15" sqref="H15"/>
    </sheetView>
  </sheetViews>
  <sheetFormatPr defaultRowHeight="14.5"/>
  <sheetData>
    <row r="1" spans="1:8">
      <c r="A1" s="10" t="s">
        <v>262</v>
      </c>
      <c r="B1" s="10"/>
      <c r="C1" s="10"/>
      <c r="D1" s="10"/>
      <c r="E1" s="10"/>
      <c r="F1" s="10"/>
      <c r="G1" s="10"/>
      <c r="H1" s="10"/>
    </row>
    <row r="2" spans="1:8">
      <c r="A2" t="s">
        <v>92</v>
      </c>
    </row>
    <row r="3" spans="1:8">
      <c r="A3" t="s">
        <v>93</v>
      </c>
    </row>
    <row r="5" spans="1:8">
      <c r="A5" t="s">
        <v>94</v>
      </c>
    </row>
    <row r="6" spans="1:8">
      <c r="A6" t="s">
        <v>131</v>
      </c>
    </row>
    <row r="7" spans="1:8">
      <c r="A7" t="s">
        <v>132</v>
      </c>
    </row>
    <row r="8" spans="1:8">
      <c r="A8" t="s">
        <v>133</v>
      </c>
    </row>
    <row r="9" spans="1:8">
      <c r="A9" t="s">
        <v>134</v>
      </c>
    </row>
    <row r="10" spans="1:8">
      <c r="A10" t="s">
        <v>135</v>
      </c>
    </row>
    <row r="11" spans="1:8">
      <c r="A11" t="s">
        <v>136</v>
      </c>
    </row>
    <row r="12" spans="1:8">
      <c r="A12" t="s">
        <v>137</v>
      </c>
    </row>
    <row r="13" spans="1:8">
      <c r="A13" t="s">
        <v>138</v>
      </c>
    </row>
    <row r="14" spans="1:8">
      <c r="A14" t="s">
        <v>139</v>
      </c>
    </row>
    <row r="17" spans="1:1">
      <c r="A17" t="s">
        <v>47</v>
      </c>
    </row>
    <row r="20" spans="1:1">
      <c r="A20" t="s">
        <v>192</v>
      </c>
    </row>
    <row r="22" spans="1:1">
      <c r="A22" t="s">
        <v>193</v>
      </c>
    </row>
    <row r="23" spans="1:1">
      <c r="A23" t="s">
        <v>194</v>
      </c>
    </row>
    <row r="25" spans="1:1">
      <c r="A25" t="s">
        <v>195</v>
      </c>
    </row>
    <row r="26" spans="1:1">
      <c r="A26" t="s">
        <v>196</v>
      </c>
    </row>
    <row r="28" spans="1:1">
      <c r="A28" t="s">
        <v>197</v>
      </c>
    </row>
    <row r="31" spans="1:1">
      <c r="A31" t="s">
        <v>198</v>
      </c>
    </row>
    <row r="32" spans="1:1">
      <c r="A32" t="s">
        <v>199</v>
      </c>
    </row>
    <row r="34" spans="1:1">
      <c r="A34" t="s">
        <v>200</v>
      </c>
    </row>
    <row r="36" spans="1:1">
      <c r="A36" t="s">
        <v>201</v>
      </c>
    </row>
    <row r="37" spans="1:1">
      <c r="A37" t="s">
        <v>202</v>
      </c>
    </row>
    <row r="38" spans="1:1">
      <c r="A38" t="s">
        <v>203</v>
      </c>
    </row>
    <row r="40" spans="1:1">
      <c r="A40" t="s">
        <v>204</v>
      </c>
    </row>
    <row r="41" spans="1:1">
      <c r="A41" t="s">
        <v>205</v>
      </c>
    </row>
    <row r="42" spans="1:1">
      <c r="A42" t="s">
        <v>206</v>
      </c>
    </row>
    <row r="43" spans="1:1">
      <c r="A43" t="s">
        <v>207</v>
      </c>
    </row>
    <row r="45" spans="1:1">
      <c r="A45" t="s">
        <v>208</v>
      </c>
    </row>
    <row r="46" spans="1:1">
      <c r="A46" t="s">
        <v>209</v>
      </c>
    </row>
    <row r="47" spans="1:1">
      <c r="A47" t="s">
        <v>182</v>
      </c>
    </row>
    <row r="48" spans="1:1">
      <c r="A48" t="s">
        <v>210</v>
      </c>
    </row>
    <row r="49" spans="1:1">
      <c r="A49" t="s">
        <v>211</v>
      </c>
    </row>
    <row r="50" spans="1:1">
      <c r="A50" t="s">
        <v>156</v>
      </c>
    </row>
    <row r="51" spans="1:1">
      <c r="A51" t="s">
        <v>212</v>
      </c>
    </row>
    <row r="52" spans="1:1">
      <c r="A52" t="s">
        <v>213</v>
      </c>
    </row>
    <row r="54" spans="1:1">
      <c r="A54" t="s">
        <v>214</v>
      </c>
    </row>
    <row r="55" spans="1:1">
      <c r="A55" t="s">
        <v>215</v>
      </c>
    </row>
    <row r="56" spans="1:1">
      <c r="A56" t="s">
        <v>216</v>
      </c>
    </row>
    <row r="57" spans="1:1">
      <c r="A57" t="s">
        <v>217</v>
      </c>
    </row>
    <row r="59" spans="1:1">
      <c r="A59" t="s">
        <v>218</v>
      </c>
    </row>
    <row r="60" spans="1:1">
      <c r="A60" t="s">
        <v>219</v>
      </c>
    </row>
    <row r="61" spans="1:1">
      <c r="A61" t="s">
        <v>220</v>
      </c>
    </row>
    <row r="62" spans="1:1">
      <c r="A62" t="s">
        <v>221</v>
      </c>
    </row>
    <row r="64" spans="1:1">
      <c r="A64" t="s">
        <v>222</v>
      </c>
    </row>
    <row r="66" spans="1:1">
      <c r="A66" t="s">
        <v>223</v>
      </c>
    </row>
    <row r="67" spans="1:1">
      <c r="A67" t="s">
        <v>224</v>
      </c>
    </row>
    <row r="68" spans="1:1">
      <c r="A68" t="s">
        <v>156</v>
      </c>
    </row>
    <row r="69" spans="1:1">
      <c r="A69" t="s">
        <v>225</v>
      </c>
    </row>
    <row r="70" spans="1:1">
      <c r="A70" t="s">
        <v>226</v>
      </c>
    </row>
    <row r="71" spans="1:1">
      <c r="A71" t="s">
        <v>227</v>
      </c>
    </row>
    <row r="72" spans="1:1">
      <c r="A72" t="s">
        <v>156</v>
      </c>
    </row>
    <row r="73" spans="1:1">
      <c r="A73" t="s">
        <v>228</v>
      </c>
    </row>
    <row r="74" spans="1:1">
      <c r="A74" t="s">
        <v>156</v>
      </c>
    </row>
    <row r="76" spans="1:1">
      <c r="A76" t="s">
        <v>229</v>
      </c>
    </row>
    <row r="77" spans="1:1">
      <c r="A77" t="s">
        <v>141</v>
      </c>
    </row>
    <row r="78" spans="1:1">
      <c r="A78" t="s">
        <v>230</v>
      </c>
    </row>
    <row r="80" spans="1:1">
      <c r="A80" t="s">
        <v>147</v>
      </c>
    </row>
    <row r="81" spans="1:1">
      <c r="A81" t="s">
        <v>148</v>
      </c>
    </row>
    <row r="83" spans="1:1">
      <c r="A83" t="s">
        <v>153</v>
      </c>
    </row>
    <row r="84" spans="1:1">
      <c r="A84" t="s">
        <v>231</v>
      </c>
    </row>
    <row r="85" spans="1:1">
      <c r="A85" t="s">
        <v>232</v>
      </c>
    </row>
    <row r="86" spans="1:1">
      <c r="A86" t="s">
        <v>233</v>
      </c>
    </row>
    <row r="88" spans="1:1">
      <c r="A88" t="s">
        <v>234</v>
      </c>
    </row>
    <row r="89" spans="1:1">
      <c r="A89" t="s">
        <v>235</v>
      </c>
    </row>
    <row r="90" spans="1:1">
      <c r="A90" t="s">
        <v>159</v>
      </c>
    </row>
    <row r="91" spans="1:1">
      <c r="A91" t="s">
        <v>161</v>
      </c>
    </row>
    <row r="93" spans="1:1">
      <c r="A93" t="s">
        <v>236</v>
      </c>
    </row>
    <row r="94" spans="1:1">
      <c r="A94" t="s">
        <v>199</v>
      </c>
    </row>
    <row r="96" spans="1:1">
      <c r="A96" t="s">
        <v>237</v>
      </c>
    </row>
    <row r="97" spans="1:1">
      <c r="A97" t="s">
        <v>156</v>
      </c>
    </row>
    <row r="98" spans="1:1">
      <c r="A98" t="s">
        <v>238</v>
      </c>
    </row>
    <row r="99" spans="1:1">
      <c r="A99" t="s">
        <v>239</v>
      </c>
    </row>
    <row r="101" spans="1:1">
      <c r="A101" t="s">
        <v>200</v>
      </c>
    </row>
    <row r="102" spans="1:1">
      <c r="A102" t="s">
        <v>207</v>
      </c>
    </row>
    <row r="103" spans="1:1">
      <c r="A103" t="s">
        <v>240</v>
      </c>
    </row>
    <row r="104" spans="1:1">
      <c r="A104" t="s">
        <v>241</v>
      </c>
    </row>
    <row r="106" spans="1:1">
      <c r="A106" t="s">
        <v>242</v>
      </c>
    </row>
    <row r="107" spans="1:1">
      <c r="A107" t="s">
        <v>243</v>
      </c>
    </row>
    <row r="108" spans="1:1">
      <c r="A108" t="s">
        <v>244</v>
      </c>
    </row>
    <row r="109" spans="1:1">
      <c r="A109" t="s">
        <v>245</v>
      </c>
    </row>
    <row r="111" spans="1:1">
      <c r="A111" t="s">
        <v>246</v>
      </c>
    </row>
    <row r="112" spans="1:1">
      <c r="A112" t="s">
        <v>247</v>
      </c>
    </row>
    <row r="114" spans="1:1">
      <c r="A114" t="s">
        <v>248</v>
      </c>
    </row>
    <row r="115" spans="1:1">
      <c r="A115" t="s">
        <v>182</v>
      </c>
    </row>
    <row r="116" spans="1:1">
      <c r="A116" t="s">
        <v>249</v>
      </c>
    </row>
    <row r="117" spans="1:1">
      <c r="A117" t="s">
        <v>156</v>
      </c>
    </row>
    <row r="118" spans="1:1">
      <c r="A118" t="s">
        <v>250</v>
      </c>
    </row>
    <row r="119" spans="1:1">
      <c r="A119" t="s">
        <v>251</v>
      </c>
    </row>
    <row r="120" spans="1:1">
      <c r="A120" t="s">
        <v>252</v>
      </c>
    </row>
    <row r="122" spans="1:1">
      <c r="A122" t="s">
        <v>253</v>
      </c>
    </row>
    <row r="123" spans="1:1">
      <c r="A123" t="s">
        <v>254</v>
      </c>
    </row>
    <row r="124" spans="1:1">
      <c r="A124" t="s">
        <v>255</v>
      </c>
    </row>
    <row r="126" spans="1:1">
      <c r="A126" t="s">
        <v>256</v>
      </c>
    </row>
    <row r="127" spans="1:1">
      <c r="A127" t="s">
        <v>182</v>
      </c>
    </row>
    <row r="128" spans="1:1">
      <c r="A128" t="s">
        <v>178</v>
      </c>
    </row>
    <row r="129" spans="1:1">
      <c r="A129" t="s">
        <v>179</v>
      </c>
    </row>
    <row r="130" spans="1:1">
      <c r="A130" t="s">
        <v>257</v>
      </c>
    </row>
    <row r="131" spans="1:1">
      <c r="A131" t="s">
        <v>181</v>
      </c>
    </row>
    <row r="132" spans="1:1">
      <c r="A132" t="s">
        <v>182</v>
      </c>
    </row>
    <row r="133" spans="1:1">
      <c r="A133" t="s">
        <v>183</v>
      </c>
    </row>
    <row r="135" spans="1:1">
      <c r="A135" t="s">
        <v>156</v>
      </c>
    </row>
    <row r="136" spans="1:1">
      <c r="A136" t="s">
        <v>185</v>
      </c>
    </row>
    <row r="137" spans="1:1">
      <c r="A137" t="s">
        <v>258</v>
      </c>
    </row>
    <row r="138" spans="1:1">
      <c r="A138" t="s">
        <v>187</v>
      </c>
    </row>
    <row r="139" spans="1:1">
      <c r="A139" t="s">
        <v>108</v>
      </c>
    </row>
    <row r="140" spans="1:1">
      <c r="A140" t="s">
        <v>259</v>
      </c>
    </row>
    <row r="141" spans="1:1">
      <c r="A141" t="s">
        <v>260</v>
      </c>
    </row>
    <row r="142" spans="1:1">
      <c r="A142" t="s">
        <v>261</v>
      </c>
    </row>
    <row r="144" spans="1:1">
      <c r="A144" t="s">
        <v>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1E5E-349F-44ED-8DE6-29FE93679802}">
  <sheetPr codeName="Sheet5"/>
  <dimension ref="A1:H74"/>
  <sheetViews>
    <sheetView workbookViewId="0">
      <selection activeCell="G14" sqref="G14"/>
    </sheetView>
  </sheetViews>
  <sheetFormatPr defaultRowHeight="14.5"/>
  <sheetData>
    <row r="1" spans="1:8">
      <c r="A1" s="10" t="s">
        <v>295</v>
      </c>
      <c r="B1" s="10"/>
      <c r="C1" s="10"/>
      <c r="D1" s="10"/>
      <c r="E1" s="10"/>
      <c r="F1" s="10"/>
      <c r="G1" s="10"/>
      <c r="H1" s="10"/>
    </row>
    <row r="2" spans="1:8">
      <c r="A2" t="s">
        <v>92</v>
      </c>
    </row>
    <row r="3" spans="1:8">
      <c r="A3" t="s">
        <v>93</v>
      </c>
    </row>
    <row r="5" spans="1:8">
      <c r="A5" t="s">
        <v>94</v>
      </c>
    </row>
    <row r="6" spans="1:8">
      <c r="A6" t="s">
        <v>131</v>
      </c>
    </row>
    <row r="7" spans="1:8">
      <c r="A7" t="s">
        <v>132</v>
      </c>
    </row>
    <row r="8" spans="1:8">
      <c r="A8" t="s">
        <v>133</v>
      </c>
    </row>
    <row r="9" spans="1:8">
      <c r="A9" t="s">
        <v>134</v>
      </c>
    </row>
    <row r="10" spans="1:8">
      <c r="A10" t="s">
        <v>135</v>
      </c>
    </row>
    <row r="11" spans="1:8">
      <c r="A11" t="s">
        <v>136</v>
      </c>
    </row>
    <row r="12" spans="1:8">
      <c r="A12" t="s">
        <v>137</v>
      </c>
    </row>
    <row r="13" spans="1:8">
      <c r="A13" t="s">
        <v>138</v>
      </c>
    </row>
    <row r="14" spans="1:8">
      <c r="A14" t="s">
        <v>139</v>
      </c>
    </row>
    <row r="17" spans="1:1">
      <c r="A17" t="s">
        <v>263</v>
      </c>
    </row>
    <row r="20" spans="1:1">
      <c r="A20" t="s">
        <v>140</v>
      </c>
    </row>
    <row r="21" spans="1:1">
      <c r="A21" t="s">
        <v>141</v>
      </c>
    </row>
    <row r="22" spans="1:1">
      <c r="A22" t="s">
        <v>143</v>
      </c>
    </row>
    <row r="24" spans="1:1">
      <c r="A24" t="s">
        <v>147</v>
      </c>
    </row>
    <row r="25" spans="1:1">
      <c r="A25" t="s">
        <v>148</v>
      </c>
    </row>
    <row r="27" spans="1:1">
      <c r="A27" t="s">
        <v>264</v>
      </c>
    </row>
    <row r="29" spans="1:1">
      <c r="A29" t="s">
        <v>265</v>
      </c>
    </row>
    <row r="31" spans="1:1">
      <c r="A31" t="s">
        <v>266</v>
      </c>
    </row>
    <row r="32" spans="1:1">
      <c r="A32" t="s">
        <v>267</v>
      </c>
    </row>
    <row r="33" spans="1:1">
      <c r="A33" t="s">
        <v>268</v>
      </c>
    </row>
    <row r="34" spans="1:1">
      <c r="A34" t="s">
        <v>269</v>
      </c>
    </row>
    <row r="35" spans="1:1">
      <c r="A35" t="s">
        <v>270</v>
      </c>
    </row>
    <row r="36" spans="1:1">
      <c r="A36" t="s">
        <v>271</v>
      </c>
    </row>
    <row r="37" spans="1:1">
      <c r="A37" t="s">
        <v>272</v>
      </c>
    </row>
    <row r="38" spans="1:1">
      <c r="A38" t="s">
        <v>156</v>
      </c>
    </row>
    <row r="39" spans="1:1">
      <c r="A39" t="s">
        <v>273</v>
      </c>
    </row>
    <row r="40" spans="1:1">
      <c r="A40" t="s">
        <v>274</v>
      </c>
    </row>
    <row r="41" spans="1:1">
      <c r="A41" t="s">
        <v>275</v>
      </c>
    </row>
    <row r="42" spans="1:1">
      <c r="A42" t="s">
        <v>276</v>
      </c>
    </row>
    <row r="43" spans="1:1">
      <c r="A43" t="s">
        <v>182</v>
      </c>
    </row>
    <row r="44" spans="1:1">
      <c r="A44" t="s">
        <v>277</v>
      </c>
    </row>
    <row r="45" spans="1:1">
      <c r="A45" t="s">
        <v>206</v>
      </c>
    </row>
    <row r="47" spans="1:1">
      <c r="A47" t="s">
        <v>278</v>
      </c>
    </row>
    <row r="48" spans="1:1">
      <c r="A48" t="s">
        <v>279</v>
      </c>
    </row>
    <row r="49" spans="1:1">
      <c r="A49" t="s">
        <v>280</v>
      </c>
    </row>
    <row r="50" spans="1:1">
      <c r="A50" t="s">
        <v>281</v>
      </c>
    </row>
    <row r="52" spans="1:1">
      <c r="A52" t="s">
        <v>282</v>
      </c>
    </row>
    <row r="53" spans="1:1">
      <c r="A53" t="s">
        <v>283</v>
      </c>
    </row>
    <row r="54" spans="1:1">
      <c r="A54" t="s">
        <v>284</v>
      </c>
    </row>
    <row r="55" spans="1:1">
      <c r="A55" t="s">
        <v>285</v>
      </c>
    </row>
    <row r="56" spans="1:1">
      <c r="A56" t="s">
        <v>286</v>
      </c>
    </row>
    <row r="57" spans="1:1">
      <c r="A57" t="s">
        <v>287</v>
      </c>
    </row>
    <row r="59" spans="1:1">
      <c r="A59" t="s">
        <v>288</v>
      </c>
    </row>
    <row r="60" spans="1:1">
      <c r="A60" t="s">
        <v>289</v>
      </c>
    </row>
    <row r="61" spans="1:1">
      <c r="A61" t="s">
        <v>290</v>
      </c>
    </row>
    <row r="62" spans="1:1">
      <c r="A62" t="s">
        <v>291</v>
      </c>
    </row>
    <row r="64" spans="1:1">
      <c r="A64" t="s">
        <v>292</v>
      </c>
    </row>
    <row r="66" spans="1:1">
      <c r="A66" t="s">
        <v>185</v>
      </c>
    </row>
    <row r="67" spans="1:1">
      <c r="A67" t="s">
        <v>108</v>
      </c>
    </row>
    <row r="68" spans="1:1">
      <c r="A68" t="s">
        <v>186</v>
      </c>
    </row>
    <row r="69" spans="1:1">
      <c r="A69" t="s">
        <v>187</v>
      </c>
    </row>
    <row r="70" spans="1:1">
      <c r="A70" t="s">
        <v>293</v>
      </c>
    </row>
    <row r="71" spans="1:1">
      <c r="A71" t="s">
        <v>294</v>
      </c>
    </row>
    <row r="72" spans="1:1">
      <c r="A72" t="s">
        <v>190</v>
      </c>
    </row>
    <row r="74" spans="1:1">
      <c r="A74"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B3FB4-2C56-49C0-8FED-CFD451C210AD}">
  <sheetPr codeName="Sheet6"/>
  <dimension ref="A1:A103"/>
  <sheetViews>
    <sheetView workbookViewId="0">
      <selection activeCell="G12" sqref="G12"/>
    </sheetView>
  </sheetViews>
  <sheetFormatPr defaultRowHeight="14.5"/>
  <sheetData>
    <row r="1" spans="1:1">
      <c r="A1" t="s">
        <v>296</v>
      </c>
    </row>
    <row r="2" spans="1:1">
      <c r="A2" t="s">
        <v>297</v>
      </c>
    </row>
    <row r="3" spans="1:1">
      <c r="A3" t="s">
        <v>298</v>
      </c>
    </row>
    <row r="4" spans="1:1">
      <c r="A4" t="s">
        <v>299</v>
      </c>
    </row>
    <row r="5" spans="1:1">
      <c r="A5" t="s">
        <v>300</v>
      </c>
    </row>
    <row r="6" spans="1:1">
      <c r="A6" t="s">
        <v>301</v>
      </c>
    </row>
    <row r="7" spans="1:1">
      <c r="A7" t="s">
        <v>302</v>
      </c>
    </row>
    <row r="8" spans="1:1">
      <c r="A8" t="s">
        <v>303</v>
      </c>
    </row>
    <row r="9" spans="1:1">
      <c r="A9" t="s">
        <v>304</v>
      </c>
    </row>
    <row r="10" spans="1:1">
      <c r="A10" t="s">
        <v>305</v>
      </c>
    </row>
    <row r="11" spans="1:1">
      <c r="A11" t="s">
        <v>306</v>
      </c>
    </row>
    <row r="12" spans="1:1">
      <c r="A12" t="s">
        <v>307</v>
      </c>
    </row>
    <row r="13" spans="1:1">
      <c r="A13" t="s">
        <v>308</v>
      </c>
    </row>
    <row r="14" spans="1:1">
      <c r="A14" t="s">
        <v>309</v>
      </c>
    </row>
    <row r="15" spans="1:1">
      <c r="A15" t="s">
        <v>310</v>
      </c>
    </row>
    <row r="16" spans="1:1">
      <c r="A16" t="s">
        <v>311</v>
      </c>
    </row>
    <row r="17" spans="1:1">
      <c r="A17" t="s">
        <v>312</v>
      </c>
    </row>
    <row r="18" spans="1:1">
      <c r="A18" t="s">
        <v>313</v>
      </c>
    </row>
    <row r="19" spans="1:1">
      <c r="A19" t="s">
        <v>314</v>
      </c>
    </row>
    <row r="20" spans="1:1">
      <c r="A20" t="s">
        <v>315</v>
      </c>
    </row>
    <row r="21" spans="1:1">
      <c r="A21" t="s">
        <v>316</v>
      </c>
    </row>
    <row r="22" spans="1:1">
      <c r="A22" t="s">
        <v>317</v>
      </c>
    </row>
    <row r="23" spans="1:1">
      <c r="A23" t="s">
        <v>318</v>
      </c>
    </row>
    <row r="24" spans="1:1">
      <c r="A24" t="s">
        <v>319</v>
      </c>
    </row>
    <row r="25" spans="1:1">
      <c r="A25" t="s">
        <v>320</v>
      </c>
    </row>
    <row r="26" spans="1:1">
      <c r="A26" t="s">
        <v>321</v>
      </c>
    </row>
    <row r="27" spans="1:1">
      <c r="A27" t="s">
        <v>322</v>
      </c>
    </row>
    <row r="28" spans="1:1">
      <c r="A28" t="s">
        <v>323</v>
      </c>
    </row>
    <row r="29" spans="1:1">
      <c r="A29" t="s">
        <v>324</v>
      </c>
    </row>
    <row r="30" spans="1:1">
      <c r="A30" t="s">
        <v>325</v>
      </c>
    </row>
    <row r="31" spans="1:1">
      <c r="A31" t="s">
        <v>326</v>
      </c>
    </row>
    <row r="32" spans="1:1">
      <c r="A32" t="s">
        <v>327</v>
      </c>
    </row>
    <row r="33" spans="1:1">
      <c r="A33" t="s">
        <v>328</v>
      </c>
    </row>
    <row r="34" spans="1:1">
      <c r="A34" t="s">
        <v>329</v>
      </c>
    </row>
    <row r="35" spans="1:1">
      <c r="A35" t="s">
        <v>330</v>
      </c>
    </row>
    <row r="36" spans="1:1">
      <c r="A36" t="s">
        <v>331</v>
      </c>
    </row>
    <row r="37" spans="1:1">
      <c r="A37" t="s">
        <v>332</v>
      </c>
    </row>
    <row r="38" spans="1:1">
      <c r="A38" t="s">
        <v>333</v>
      </c>
    </row>
    <row r="39" spans="1:1">
      <c r="A39" t="s">
        <v>334</v>
      </c>
    </row>
    <row r="40" spans="1:1">
      <c r="A40" t="s">
        <v>335</v>
      </c>
    </row>
    <row r="41" spans="1:1">
      <c r="A41" t="s">
        <v>336</v>
      </c>
    </row>
    <row r="42" spans="1:1">
      <c r="A42" t="s">
        <v>337</v>
      </c>
    </row>
    <row r="43" spans="1:1">
      <c r="A43" t="s">
        <v>338</v>
      </c>
    </row>
    <row r="44" spans="1:1">
      <c r="A44" t="s">
        <v>339</v>
      </c>
    </row>
    <row r="45" spans="1:1">
      <c r="A45" t="s">
        <v>340</v>
      </c>
    </row>
    <row r="46" spans="1:1">
      <c r="A46" t="s">
        <v>341</v>
      </c>
    </row>
    <row r="47" spans="1:1">
      <c r="A47" t="s">
        <v>342</v>
      </c>
    </row>
    <row r="48" spans="1:1">
      <c r="A48" t="s">
        <v>343</v>
      </c>
    </row>
    <row r="49" spans="1:1">
      <c r="A49" t="s">
        <v>344</v>
      </c>
    </row>
    <row r="50" spans="1:1">
      <c r="A50" t="s">
        <v>345</v>
      </c>
    </row>
    <row r="51" spans="1:1">
      <c r="A51" t="s">
        <v>346</v>
      </c>
    </row>
    <row r="52" spans="1:1">
      <c r="A52" t="s">
        <v>347</v>
      </c>
    </row>
    <row r="53" spans="1:1">
      <c r="A53" t="s">
        <v>348</v>
      </c>
    </row>
    <row r="54" spans="1:1">
      <c r="A54" t="s">
        <v>349</v>
      </c>
    </row>
    <row r="55" spans="1:1">
      <c r="A55" t="s">
        <v>350</v>
      </c>
    </row>
    <row r="56" spans="1:1">
      <c r="A56" t="s">
        <v>351</v>
      </c>
    </row>
    <row r="57" spans="1:1">
      <c r="A57" t="s">
        <v>352</v>
      </c>
    </row>
    <row r="58" spans="1:1">
      <c r="A58" t="s">
        <v>353</v>
      </c>
    </row>
    <row r="59" spans="1:1">
      <c r="A59" t="s">
        <v>354</v>
      </c>
    </row>
    <row r="60" spans="1:1">
      <c r="A60" t="s">
        <v>355</v>
      </c>
    </row>
    <row r="61" spans="1:1">
      <c r="A61" t="s">
        <v>356</v>
      </c>
    </row>
    <row r="62" spans="1:1">
      <c r="A62" t="s">
        <v>357</v>
      </c>
    </row>
    <row r="63" spans="1:1">
      <c r="A63" t="s">
        <v>358</v>
      </c>
    </row>
    <row r="64" spans="1:1">
      <c r="A64" t="s">
        <v>359</v>
      </c>
    </row>
    <row r="65" spans="1:1">
      <c r="A65" t="s">
        <v>360</v>
      </c>
    </row>
    <row r="66" spans="1:1">
      <c r="A66" t="s">
        <v>361</v>
      </c>
    </row>
    <row r="67" spans="1:1">
      <c r="A67" t="s">
        <v>362</v>
      </c>
    </row>
    <row r="68" spans="1:1">
      <c r="A68" t="s">
        <v>363</v>
      </c>
    </row>
    <row r="69" spans="1:1">
      <c r="A69" t="s">
        <v>364</v>
      </c>
    </row>
    <row r="70" spans="1:1">
      <c r="A70" t="s">
        <v>365</v>
      </c>
    </row>
    <row r="71" spans="1:1">
      <c r="A71" t="s">
        <v>366</v>
      </c>
    </row>
    <row r="72" spans="1:1">
      <c r="A72" t="s">
        <v>367</v>
      </c>
    </row>
    <row r="73" spans="1:1">
      <c r="A73" t="s">
        <v>368</v>
      </c>
    </row>
    <row r="74" spans="1:1">
      <c r="A74" t="s">
        <v>369</v>
      </c>
    </row>
    <row r="75" spans="1:1">
      <c r="A75" t="s">
        <v>370</v>
      </c>
    </row>
    <row r="76" spans="1:1">
      <c r="A76" t="s">
        <v>371</v>
      </c>
    </row>
    <row r="77" spans="1:1">
      <c r="A77" t="s">
        <v>372</v>
      </c>
    </row>
    <row r="78" spans="1:1">
      <c r="A78" t="s">
        <v>373</v>
      </c>
    </row>
    <row r="79" spans="1:1">
      <c r="A79" t="s">
        <v>374</v>
      </c>
    </row>
    <row r="80" spans="1:1">
      <c r="A80" t="s">
        <v>375</v>
      </c>
    </row>
    <row r="81" spans="1:1">
      <c r="A81" t="s">
        <v>376</v>
      </c>
    </row>
    <row r="82" spans="1:1">
      <c r="A82" t="s">
        <v>377</v>
      </c>
    </row>
    <row r="83" spans="1:1">
      <c r="A83" t="s">
        <v>378</v>
      </c>
    </row>
    <row r="84" spans="1:1">
      <c r="A84" t="s">
        <v>379</v>
      </c>
    </row>
    <row r="85" spans="1:1">
      <c r="A85" t="s">
        <v>380</v>
      </c>
    </row>
    <row r="86" spans="1:1">
      <c r="A86" t="s">
        <v>381</v>
      </c>
    </row>
    <row r="87" spans="1:1">
      <c r="A87" t="s">
        <v>382</v>
      </c>
    </row>
    <row r="88" spans="1:1">
      <c r="A88" t="s">
        <v>383</v>
      </c>
    </row>
    <row r="89" spans="1:1">
      <c r="A89" t="s">
        <v>384</v>
      </c>
    </row>
    <row r="90" spans="1:1">
      <c r="A90" t="s">
        <v>385</v>
      </c>
    </row>
    <row r="91" spans="1:1">
      <c r="A91" t="s">
        <v>386</v>
      </c>
    </row>
    <row r="92" spans="1:1">
      <c r="A92" t="s">
        <v>387</v>
      </c>
    </row>
    <row r="93" spans="1:1">
      <c r="A93" t="s">
        <v>388</v>
      </c>
    </row>
    <row r="94" spans="1:1">
      <c r="A94" t="s">
        <v>389</v>
      </c>
    </row>
    <row r="95" spans="1:1">
      <c r="A95" t="s">
        <v>390</v>
      </c>
    </row>
    <row r="96" spans="1:1">
      <c r="A96" t="s">
        <v>391</v>
      </c>
    </row>
    <row r="97" spans="1:1">
      <c r="A97" t="s">
        <v>392</v>
      </c>
    </row>
    <row r="98" spans="1:1">
      <c r="A98" t="s">
        <v>393</v>
      </c>
    </row>
    <row r="99" spans="1:1">
      <c r="A99" t="s">
        <v>394</v>
      </c>
    </row>
    <row r="100" spans="1:1">
      <c r="A100" t="s">
        <v>395</v>
      </c>
    </row>
    <row r="101" spans="1:1">
      <c r="A101" t="s">
        <v>396</v>
      </c>
    </row>
    <row r="102" spans="1:1">
      <c r="A102" t="s">
        <v>397</v>
      </c>
    </row>
    <row r="103" spans="1:1">
      <c r="A103" t="s">
        <v>398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62D9-82E6-4E06-8468-44C6F7C23F4E}">
  <sheetPr codeName="Sheet7"/>
  <dimension ref="A1:I93"/>
  <sheetViews>
    <sheetView workbookViewId="0">
      <selection activeCell="F12" sqref="F12"/>
    </sheetView>
  </sheetViews>
  <sheetFormatPr defaultRowHeight="14.5"/>
  <sheetData>
    <row r="1" spans="1:9">
      <c r="A1" s="10" t="s">
        <v>448</v>
      </c>
      <c r="B1" s="10"/>
      <c r="C1" s="10"/>
      <c r="D1" s="10"/>
      <c r="E1" s="10"/>
      <c r="F1" s="10"/>
      <c r="G1" s="10"/>
      <c r="H1" s="10"/>
      <c r="I1" s="10"/>
    </row>
    <row r="2" spans="1:9">
      <c r="A2" t="s">
        <v>399</v>
      </c>
    </row>
    <row r="3" spans="1:9">
      <c r="A3" t="s">
        <v>133</v>
      </c>
    </row>
    <row r="5" spans="1:9">
      <c r="A5" t="s">
        <v>400</v>
      </c>
    </row>
    <row r="6" spans="1:9">
      <c r="A6" t="s">
        <v>401</v>
      </c>
    </row>
    <row r="7" spans="1:9">
      <c r="A7" t="s">
        <v>402</v>
      </c>
    </row>
    <row r="8" spans="1:9">
      <c r="A8" t="s">
        <v>403</v>
      </c>
    </row>
    <row r="9" spans="1:9">
      <c r="A9" t="s">
        <v>404</v>
      </c>
    </row>
    <row r="10" spans="1:9">
      <c r="A10" t="s">
        <v>405</v>
      </c>
    </row>
    <row r="12" spans="1:9">
      <c r="A12" t="s">
        <v>108</v>
      </c>
    </row>
    <row r="13" spans="1:9">
      <c r="A13" t="s">
        <v>406</v>
      </c>
    </row>
    <row r="14" spans="1:9">
      <c r="A14" t="s">
        <v>108</v>
      </c>
    </row>
    <row r="15" spans="1:9">
      <c r="A15" t="s">
        <v>407</v>
      </c>
    </row>
    <row r="16" spans="1:9">
      <c r="A16" t="s">
        <v>408</v>
      </c>
    </row>
    <row r="18" spans="1:1">
      <c r="A18" t="s">
        <v>409</v>
      </c>
    </row>
    <row r="19" spans="1:1">
      <c r="A19" t="s">
        <v>410</v>
      </c>
    </row>
    <row r="20" spans="1:1">
      <c r="A20" t="s">
        <v>411</v>
      </c>
    </row>
    <row r="21" spans="1:1">
      <c r="A21" t="s">
        <v>412</v>
      </c>
    </row>
    <row r="22" spans="1:1">
      <c r="A22" t="s">
        <v>413</v>
      </c>
    </row>
    <row r="24" spans="1:1">
      <c r="A24" t="s">
        <v>414</v>
      </c>
    </row>
    <row r="26" spans="1:1">
      <c r="A26" t="s">
        <v>415</v>
      </c>
    </row>
    <row r="27" spans="1:1">
      <c r="A27" t="s">
        <v>416</v>
      </c>
    </row>
    <row r="29" spans="1:1">
      <c r="A29" t="s">
        <v>417</v>
      </c>
    </row>
    <row r="30" spans="1:1">
      <c r="A30" t="s">
        <v>141</v>
      </c>
    </row>
    <row r="31" spans="1:1">
      <c r="A31" t="s">
        <v>418</v>
      </c>
    </row>
    <row r="33" spans="1:1">
      <c r="A33" t="s">
        <v>419</v>
      </c>
    </row>
    <row r="34" spans="1:1">
      <c r="A34" t="s">
        <v>420</v>
      </c>
    </row>
    <row r="35" spans="1:1">
      <c r="A35" t="s">
        <v>421</v>
      </c>
    </row>
    <row r="36" spans="1:1">
      <c r="A36" t="s">
        <v>422</v>
      </c>
    </row>
    <row r="38" spans="1:1">
      <c r="A38" t="s">
        <v>423</v>
      </c>
    </row>
    <row r="39" spans="1:1">
      <c r="A39" t="s">
        <v>424</v>
      </c>
    </row>
    <row r="40" spans="1:1">
      <c r="A40" t="s">
        <v>425</v>
      </c>
    </row>
    <row r="41" spans="1:1">
      <c r="A41" t="s">
        <v>206</v>
      </c>
    </row>
    <row r="42" spans="1:1">
      <c r="A42" t="s">
        <v>426</v>
      </c>
    </row>
    <row r="43" spans="1:1">
      <c r="A43" t="s">
        <v>427</v>
      </c>
    </row>
    <row r="44" spans="1:1">
      <c r="A44" t="s">
        <v>428</v>
      </c>
    </row>
    <row r="46" spans="1:1">
      <c r="A46" t="s">
        <v>182</v>
      </c>
    </row>
    <row r="47" spans="1:1">
      <c r="A47" t="s">
        <v>429</v>
      </c>
    </row>
    <row r="48" spans="1:1">
      <c r="A48" t="s">
        <v>430</v>
      </c>
    </row>
    <row r="50" spans="1:1">
      <c r="A50" t="s">
        <v>431</v>
      </c>
    </row>
    <row r="51" spans="1:1">
      <c r="A51" t="s">
        <v>432</v>
      </c>
    </row>
    <row r="52" spans="1:1">
      <c r="A52" t="s">
        <v>421</v>
      </c>
    </row>
    <row r="54" spans="1:1">
      <c r="A54" t="s">
        <v>433</v>
      </c>
    </row>
    <row r="55" spans="1:1">
      <c r="A55" t="s">
        <v>422</v>
      </c>
    </row>
    <row r="56" spans="1:1">
      <c r="A56" t="s">
        <v>424</v>
      </c>
    </row>
    <row r="57" spans="1:1">
      <c r="A57" t="s">
        <v>425</v>
      </c>
    </row>
    <row r="58" spans="1:1">
      <c r="A58" t="s">
        <v>206</v>
      </c>
    </row>
    <row r="59" spans="1:1">
      <c r="A59" t="s">
        <v>426</v>
      </c>
    </row>
    <row r="60" spans="1:1">
      <c r="A60" t="s">
        <v>427</v>
      </c>
    </row>
    <row r="61" spans="1:1">
      <c r="A61" t="s">
        <v>428</v>
      </c>
    </row>
    <row r="63" spans="1:1">
      <c r="A63" t="s">
        <v>434</v>
      </c>
    </row>
    <row r="64" spans="1:1">
      <c r="A64" t="s">
        <v>435</v>
      </c>
    </row>
    <row r="65" spans="1:1">
      <c r="A65" t="s">
        <v>436</v>
      </c>
    </row>
    <row r="68" spans="1:1">
      <c r="A68" t="s">
        <v>437</v>
      </c>
    </row>
    <row r="69" spans="1:1">
      <c r="A69" t="s">
        <v>438</v>
      </c>
    </row>
    <row r="70" spans="1:1">
      <c r="A70" t="s">
        <v>439</v>
      </c>
    </row>
    <row r="71" spans="1:1">
      <c r="A71" t="s">
        <v>440</v>
      </c>
    </row>
    <row r="72" spans="1:1">
      <c r="A72" t="s">
        <v>421</v>
      </c>
    </row>
    <row r="73" spans="1:1">
      <c r="A73" t="s">
        <v>441</v>
      </c>
    </row>
    <row r="74" spans="1:1">
      <c r="A74" t="s">
        <v>422</v>
      </c>
    </row>
    <row r="75" spans="1:1">
      <c r="A75" t="s">
        <v>423</v>
      </c>
    </row>
    <row r="76" spans="1:1">
      <c r="A76" t="s">
        <v>424</v>
      </c>
    </row>
    <row r="77" spans="1:1">
      <c r="A77" t="s">
        <v>425</v>
      </c>
    </row>
    <row r="78" spans="1:1">
      <c r="A78" t="s">
        <v>206</v>
      </c>
    </row>
    <row r="80" spans="1:1">
      <c r="A80" t="s">
        <v>426</v>
      </c>
    </row>
    <row r="81" spans="1:1">
      <c r="A81" t="s">
        <v>427</v>
      </c>
    </row>
    <row r="82" spans="1:1">
      <c r="A82" t="s">
        <v>442</v>
      </c>
    </row>
    <row r="83" spans="1:1">
      <c r="A83" t="s">
        <v>428</v>
      </c>
    </row>
    <row r="85" spans="1:1">
      <c r="A85" t="s">
        <v>443</v>
      </c>
    </row>
    <row r="86" spans="1:1">
      <c r="A86" t="s">
        <v>444</v>
      </c>
    </row>
    <row r="87" spans="1:1">
      <c r="A87" t="s">
        <v>435</v>
      </c>
    </row>
    <row r="88" spans="1:1">
      <c r="A88" t="s">
        <v>445</v>
      </c>
    </row>
    <row r="89" spans="1:1">
      <c r="A89" t="s">
        <v>182</v>
      </c>
    </row>
    <row r="90" spans="1:1">
      <c r="A90" t="s">
        <v>446</v>
      </c>
    </row>
    <row r="92" spans="1:1">
      <c r="A92" t="s">
        <v>182</v>
      </c>
    </row>
    <row r="93" spans="1:1">
      <c r="A93" t="s">
        <v>447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70FA-050C-4A4D-A1E3-7925B53F7A93}">
  <sheetPr codeName="Sheet8"/>
  <dimension ref="A1:H73"/>
  <sheetViews>
    <sheetView workbookViewId="0">
      <selection activeCell="H16" sqref="H16"/>
    </sheetView>
  </sheetViews>
  <sheetFormatPr defaultRowHeight="14.5"/>
  <sheetData>
    <row r="1" spans="1:8">
      <c r="A1" s="10" t="s">
        <v>84</v>
      </c>
      <c r="B1" s="10"/>
      <c r="C1" s="10"/>
      <c r="D1" s="10"/>
      <c r="E1" s="10"/>
      <c r="F1" s="10"/>
      <c r="G1" s="10"/>
      <c r="H1" s="10"/>
    </row>
    <row r="2" spans="1:8">
      <c r="A2" t="s">
        <v>399</v>
      </c>
    </row>
    <row r="3" spans="1:8">
      <c r="A3" t="s">
        <v>133</v>
      </c>
    </row>
    <row r="5" spans="1:8">
      <c r="A5" t="s">
        <v>400</v>
      </c>
    </row>
    <row r="6" spans="1:8">
      <c r="A6" t="s">
        <v>449</v>
      </c>
    </row>
    <row r="7" spans="1:8">
      <c r="A7" t="s">
        <v>450</v>
      </c>
    </row>
    <row r="8" spans="1:8">
      <c r="A8" t="s">
        <v>451</v>
      </c>
    </row>
    <row r="9" spans="1:8">
      <c r="A9" t="s">
        <v>452</v>
      </c>
    </row>
    <row r="10" spans="1:8">
      <c r="A10" t="s">
        <v>449</v>
      </c>
    </row>
    <row r="12" spans="1:8">
      <c r="A12" t="s">
        <v>406</v>
      </c>
    </row>
    <row r="14" spans="1:8">
      <c r="A14" t="s">
        <v>407</v>
      </c>
    </row>
    <row r="15" spans="1:8">
      <c r="A15" t="s">
        <v>108</v>
      </c>
    </row>
    <row r="16" spans="1:8">
      <c r="A16" t="s">
        <v>418</v>
      </c>
    </row>
    <row r="17" spans="1:1">
      <c r="A17" t="s">
        <v>453</v>
      </c>
    </row>
    <row r="18" spans="1:1">
      <c r="A18" t="s">
        <v>108</v>
      </c>
    </row>
    <row r="19" spans="1:1">
      <c r="A19" t="s">
        <v>454</v>
      </c>
    </row>
    <row r="20" spans="1:1">
      <c r="A20" t="s">
        <v>269</v>
      </c>
    </row>
    <row r="21" spans="1:1">
      <c r="A21" t="s">
        <v>455</v>
      </c>
    </row>
    <row r="22" spans="1:1">
      <c r="A22" t="s">
        <v>456</v>
      </c>
    </row>
    <row r="23" spans="1:1">
      <c r="A23" t="s">
        <v>457</v>
      </c>
    </row>
    <row r="24" spans="1:1">
      <c r="A24" t="s">
        <v>458</v>
      </c>
    </row>
    <row r="25" spans="1:1">
      <c r="A25" t="s">
        <v>156</v>
      </c>
    </row>
    <row r="26" spans="1:1">
      <c r="A26" t="s">
        <v>408</v>
      </c>
    </row>
    <row r="27" spans="1:1">
      <c r="A27" t="s">
        <v>156</v>
      </c>
    </row>
    <row r="28" spans="1:1">
      <c r="A28" t="s">
        <v>459</v>
      </c>
    </row>
    <row r="29" spans="1:1">
      <c r="A29" t="s">
        <v>460</v>
      </c>
    </row>
    <row r="30" spans="1:1">
      <c r="A30" t="s">
        <v>108</v>
      </c>
    </row>
    <row r="31" spans="1:1">
      <c r="A31" t="s">
        <v>414</v>
      </c>
    </row>
    <row r="34" spans="1:1">
      <c r="A34" t="s">
        <v>461</v>
      </c>
    </row>
    <row r="35" spans="1:1">
      <c r="A35" t="s">
        <v>141</v>
      </c>
    </row>
    <row r="36" spans="1:1">
      <c r="A36" t="s">
        <v>108</v>
      </c>
    </row>
    <row r="37" spans="1:1">
      <c r="A37" t="s">
        <v>462</v>
      </c>
    </row>
    <row r="38" spans="1:1">
      <c r="A38" t="s">
        <v>421</v>
      </c>
    </row>
    <row r="39" spans="1:1">
      <c r="A39" t="s">
        <v>463</v>
      </c>
    </row>
    <row r="40" spans="1:1">
      <c r="A40" t="s">
        <v>464</v>
      </c>
    </row>
    <row r="41" spans="1:1">
      <c r="A41" t="s">
        <v>465</v>
      </c>
    </row>
    <row r="42" spans="1:1">
      <c r="A42" t="s">
        <v>425</v>
      </c>
    </row>
    <row r="43" spans="1:1">
      <c r="A43" t="s">
        <v>206</v>
      </c>
    </row>
    <row r="44" spans="1:1">
      <c r="A44" t="s">
        <v>466</v>
      </c>
    </row>
    <row r="45" spans="1:1">
      <c r="A45" t="s">
        <v>427</v>
      </c>
    </row>
    <row r="46" spans="1:1">
      <c r="A46" t="s">
        <v>428</v>
      </c>
    </row>
    <row r="47" spans="1:1">
      <c r="A47" t="s">
        <v>182</v>
      </c>
    </row>
    <row r="48" spans="1:1">
      <c r="A48" t="s">
        <v>435</v>
      </c>
    </row>
    <row r="49" spans="1:1">
      <c r="A49" t="s">
        <v>467</v>
      </c>
    </row>
    <row r="52" spans="1:1">
      <c r="A52" t="s">
        <v>468</v>
      </c>
    </row>
    <row r="53" spans="1:1">
      <c r="A53" t="s">
        <v>438</v>
      </c>
    </row>
    <row r="55" spans="1:1">
      <c r="A55" t="s">
        <v>439</v>
      </c>
    </row>
    <row r="56" spans="1:1">
      <c r="A56" t="s">
        <v>469</v>
      </c>
    </row>
    <row r="57" spans="1:1">
      <c r="A57" t="s">
        <v>421</v>
      </c>
    </row>
    <row r="58" spans="1:1">
      <c r="A58" t="s">
        <v>463</v>
      </c>
    </row>
    <row r="59" spans="1:1">
      <c r="A59" t="s">
        <v>470</v>
      </c>
    </row>
    <row r="60" spans="1:1">
      <c r="A60" t="s">
        <v>465</v>
      </c>
    </row>
    <row r="61" spans="1:1">
      <c r="A61" t="s">
        <v>425</v>
      </c>
    </row>
    <row r="62" spans="1:1">
      <c r="A62" t="s">
        <v>206</v>
      </c>
    </row>
    <row r="63" spans="1:1">
      <c r="A63" t="s">
        <v>471</v>
      </c>
    </row>
    <row r="64" spans="1:1">
      <c r="A64" t="s">
        <v>427</v>
      </c>
    </row>
    <row r="65" spans="1:1">
      <c r="A65" t="s">
        <v>442</v>
      </c>
    </row>
    <row r="66" spans="1:1">
      <c r="A66" t="s">
        <v>428</v>
      </c>
    </row>
    <row r="67" spans="1:1">
      <c r="A67" t="s">
        <v>182</v>
      </c>
    </row>
    <row r="68" spans="1:1">
      <c r="A68" t="s">
        <v>443</v>
      </c>
    </row>
    <row r="69" spans="1:1">
      <c r="A69" t="s">
        <v>472</v>
      </c>
    </row>
    <row r="70" spans="1:1">
      <c r="A70" t="s">
        <v>435</v>
      </c>
    </row>
    <row r="71" spans="1:1">
      <c r="A71" t="s">
        <v>473</v>
      </c>
    </row>
    <row r="72" spans="1:1">
      <c r="A72" t="s">
        <v>182</v>
      </c>
    </row>
    <row r="73" spans="1:1">
      <c r="A73" t="s">
        <v>446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F6091-DB1C-48FA-98F5-CD358017D516}">
  <sheetPr codeName="Sheet9"/>
  <dimension ref="A1:H66"/>
  <sheetViews>
    <sheetView workbookViewId="0">
      <selection activeCell="H16" sqref="H16"/>
    </sheetView>
  </sheetViews>
  <sheetFormatPr defaultRowHeight="14.5"/>
  <sheetData>
    <row r="1" spans="1:8">
      <c r="A1" s="10" t="s">
        <v>74</v>
      </c>
      <c r="B1" s="10"/>
      <c r="C1" s="10"/>
      <c r="D1" s="10"/>
      <c r="E1" s="10"/>
      <c r="F1" s="10"/>
      <c r="G1" s="10"/>
      <c r="H1" s="10"/>
    </row>
    <row r="2" spans="1:8">
      <c r="A2" t="s">
        <v>399</v>
      </c>
    </row>
    <row r="3" spans="1:8">
      <c r="A3" t="s">
        <v>133</v>
      </c>
    </row>
    <row r="5" spans="1:8">
      <c r="A5" t="s">
        <v>400</v>
      </c>
    </row>
    <row r="6" spans="1:8">
      <c r="A6" t="s">
        <v>449</v>
      </c>
    </row>
    <row r="7" spans="1:8">
      <c r="A7" t="s">
        <v>450</v>
      </c>
    </row>
    <row r="8" spans="1:8">
      <c r="A8" t="s">
        <v>474</v>
      </c>
    </row>
    <row r="9" spans="1:8">
      <c r="A9" t="s">
        <v>452</v>
      </c>
    </row>
    <row r="10" spans="1:8">
      <c r="A10" t="s">
        <v>449</v>
      </c>
    </row>
    <row r="11" spans="1:8">
      <c r="A11" t="s">
        <v>475</v>
      </c>
    </row>
    <row r="12" spans="1:8">
      <c r="A12" t="s">
        <v>406</v>
      </c>
    </row>
    <row r="14" spans="1:8">
      <c r="A14" t="s">
        <v>407</v>
      </c>
    </row>
    <row r="15" spans="1:8">
      <c r="A15" t="s">
        <v>108</v>
      </c>
    </row>
    <row r="16" spans="1:8">
      <c r="A16" t="s">
        <v>453</v>
      </c>
    </row>
    <row r="17" spans="1:1">
      <c r="A17" t="s">
        <v>108</v>
      </c>
    </row>
    <row r="18" spans="1:1">
      <c r="A18" t="s">
        <v>454</v>
      </c>
    </row>
    <row r="19" spans="1:1">
      <c r="A19" t="s">
        <v>269</v>
      </c>
    </row>
    <row r="20" spans="1:1">
      <c r="A20" t="s">
        <v>455</v>
      </c>
    </row>
    <row r="21" spans="1:1">
      <c r="A21" t="s">
        <v>456</v>
      </c>
    </row>
    <row r="22" spans="1:1">
      <c r="A22" t="s">
        <v>457</v>
      </c>
    </row>
    <row r="23" spans="1:1">
      <c r="A23" t="s">
        <v>458</v>
      </c>
    </row>
    <row r="24" spans="1:1">
      <c r="A24" t="s">
        <v>156</v>
      </c>
    </row>
    <row r="25" spans="1:1">
      <c r="A25" t="s">
        <v>408</v>
      </c>
    </row>
    <row r="27" spans="1:1">
      <c r="A27" t="s">
        <v>459</v>
      </c>
    </row>
    <row r="28" spans="1:1">
      <c r="A28" t="s">
        <v>460</v>
      </c>
    </row>
    <row r="31" spans="1:1">
      <c r="A31" t="s">
        <v>414</v>
      </c>
    </row>
    <row r="34" spans="1:1">
      <c r="A34" t="s">
        <v>461</v>
      </c>
    </row>
    <row r="35" spans="1:1">
      <c r="A35" t="s">
        <v>141</v>
      </c>
    </row>
    <row r="36" spans="1:1">
      <c r="A36" t="s">
        <v>476</v>
      </c>
    </row>
    <row r="37" spans="1:1">
      <c r="A37" t="s">
        <v>462</v>
      </c>
    </row>
    <row r="39" spans="1:1">
      <c r="A39" t="s">
        <v>463</v>
      </c>
    </row>
    <row r="40" spans="1:1">
      <c r="A40" t="s">
        <v>477</v>
      </c>
    </row>
    <row r="41" spans="1:1">
      <c r="A41" t="s">
        <v>478</v>
      </c>
    </row>
    <row r="42" spans="1:1">
      <c r="A42" t="s">
        <v>479</v>
      </c>
    </row>
    <row r="43" spans="1:1">
      <c r="A43" t="s">
        <v>206</v>
      </c>
    </row>
    <row r="44" spans="1:1">
      <c r="A44" t="s">
        <v>435</v>
      </c>
    </row>
    <row r="45" spans="1:1">
      <c r="A45" t="s">
        <v>480</v>
      </c>
    </row>
    <row r="48" spans="1:1">
      <c r="A48" t="s">
        <v>468</v>
      </c>
    </row>
    <row r="49" spans="1:1">
      <c r="A49" t="s">
        <v>438</v>
      </c>
    </row>
    <row r="51" spans="1:1">
      <c r="A51" t="s">
        <v>439</v>
      </c>
    </row>
    <row r="52" spans="1:1">
      <c r="A52" t="s">
        <v>108</v>
      </c>
    </row>
    <row r="53" spans="1:1">
      <c r="A53" t="s">
        <v>469</v>
      </c>
    </row>
    <row r="55" spans="1:1">
      <c r="A55" t="s">
        <v>463</v>
      </c>
    </row>
    <row r="56" spans="1:1">
      <c r="A56" t="s">
        <v>478</v>
      </c>
    </row>
    <row r="57" spans="1:1">
      <c r="A57" t="s">
        <v>481</v>
      </c>
    </row>
    <row r="58" spans="1:1">
      <c r="A58" t="s">
        <v>482</v>
      </c>
    </row>
    <row r="59" spans="1:1">
      <c r="A59" t="s">
        <v>479</v>
      </c>
    </row>
    <row r="60" spans="1:1">
      <c r="A60" t="s">
        <v>206</v>
      </c>
    </row>
    <row r="61" spans="1:1">
      <c r="A61" t="s">
        <v>443</v>
      </c>
    </row>
    <row r="62" spans="1:1">
      <c r="A62" t="s">
        <v>483</v>
      </c>
    </row>
    <row r="63" spans="1:1">
      <c r="A63" t="s">
        <v>435</v>
      </c>
    </row>
    <row r="64" spans="1:1">
      <c r="A64" t="s">
        <v>484</v>
      </c>
    </row>
    <row r="65" spans="1:1">
      <c r="A65" t="s">
        <v>108</v>
      </c>
    </row>
    <row r="66" spans="1:1">
      <c r="A66" t="s">
        <v>446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875D-6EDE-4E87-912E-52E09B65F74C}">
  <sheetPr codeName="Sheet10"/>
  <dimension ref="B1:C15"/>
  <sheetViews>
    <sheetView workbookViewId="0">
      <selection activeCell="C16" sqref="C16"/>
    </sheetView>
  </sheetViews>
  <sheetFormatPr defaultRowHeight="14.5"/>
  <cols>
    <col min="2" max="2" width="31.6328125" customWidth="1"/>
    <col min="3" max="3" width="29.81640625" customWidth="1"/>
    <col min="4" max="4" width="21.1796875" customWidth="1"/>
    <col min="5" max="5" width="16.90625" customWidth="1"/>
    <col min="6" max="6" width="22.36328125" customWidth="1"/>
  </cols>
  <sheetData>
    <row r="1" spans="2:3" ht="26">
      <c r="B1" s="12" t="s">
        <v>486</v>
      </c>
    </row>
    <row r="3" spans="2:3" ht="15" thickBot="1">
      <c r="B3" s="16" t="s">
        <v>487</v>
      </c>
      <c r="C3" s="16" t="s">
        <v>488</v>
      </c>
    </row>
    <row r="4" spans="2:3">
      <c r="B4" s="15" t="s">
        <v>38</v>
      </c>
      <c r="C4" s="15" t="s">
        <v>489</v>
      </c>
    </row>
    <row r="5" spans="2:3">
      <c r="B5" s="14" t="s">
        <v>54</v>
      </c>
      <c r="C5" s="14" t="s">
        <v>490</v>
      </c>
    </row>
    <row r="6" spans="2:3">
      <c r="B6" s="14" t="s">
        <v>45</v>
      </c>
      <c r="C6" s="14" t="s">
        <v>491</v>
      </c>
    </row>
    <row r="7" spans="2:3">
      <c r="B7" s="14" t="s">
        <v>49</v>
      </c>
      <c r="C7" s="14" t="s">
        <v>492</v>
      </c>
    </row>
    <row r="8" spans="2:3">
      <c r="B8" s="14"/>
      <c r="C8" s="14" t="s">
        <v>493</v>
      </c>
    </row>
    <row r="9" spans="2:3">
      <c r="B9" s="14"/>
      <c r="C9" s="14" t="s">
        <v>494</v>
      </c>
    </row>
    <row r="10" spans="2:3">
      <c r="B10" s="14"/>
      <c r="C10" s="14" t="s">
        <v>495</v>
      </c>
    </row>
    <row r="11" spans="2:3">
      <c r="B11" s="14"/>
      <c r="C11" s="14" t="s">
        <v>496</v>
      </c>
    </row>
    <row r="12" spans="2:3">
      <c r="B12" s="14"/>
      <c r="C12" s="14" t="s">
        <v>497</v>
      </c>
    </row>
    <row r="15" spans="2:3">
      <c r="B15" t="s">
        <v>498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6402-7AEE-417D-83AB-A5863389671A}">
  <sheetPr codeName="Sheet11"/>
  <dimension ref="A5:P54"/>
  <sheetViews>
    <sheetView topLeftCell="F1" workbookViewId="0">
      <selection activeCell="K7" sqref="K7"/>
    </sheetView>
  </sheetViews>
  <sheetFormatPr defaultRowHeight="14.5"/>
  <cols>
    <col min="2" max="2" width="14.90625" bestFit="1" customWidth="1"/>
    <col min="5" max="5" width="36.453125" bestFit="1" customWidth="1"/>
    <col min="8" max="8" width="16.7265625" customWidth="1"/>
    <col min="10" max="10" width="10.36328125" bestFit="1" customWidth="1"/>
    <col min="11" max="11" width="15.1796875" bestFit="1" customWidth="1"/>
    <col min="14" max="14" width="12.90625" bestFit="1" customWidth="1"/>
  </cols>
  <sheetData>
    <row r="5" spans="1:16">
      <c r="A5" s="17"/>
      <c r="B5" s="42" t="s">
        <v>500</v>
      </c>
      <c r="C5" s="42"/>
      <c r="D5" s="42"/>
      <c r="E5" s="42" t="s">
        <v>501</v>
      </c>
      <c r="F5" s="42"/>
      <c r="G5" s="42"/>
      <c r="H5" s="42" t="s">
        <v>502</v>
      </c>
      <c r="I5" s="42"/>
      <c r="J5" s="42"/>
      <c r="K5" s="42" t="s">
        <v>503</v>
      </c>
      <c r="L5" s="42"/>
      <c r="M5" s="42"/>
      <c r="N5" s="42" t="s">
        <v>504</v>
      </c>
      <c r="O5" s="42"/>
      <c r="P5" s="42"/>
    </row>
    <row r="6" spans="1:16">
      <c r="A6" s="18"/>
      <c r="B6" s="22"/>
      <c r="C6" s="22" t="s">
        <v>505</v>
      </c>
      <c r="D6" s="22" t="s">
        <v>506</v>
      </c>
      <c r="E6" s="23"/>
      <c r="F6" s="22" t="s">
        <v>507</v>
      </c>
      <c r="G6" s="22" t="s">
        <v>506</v>
      </c>
      <c r="H6" s="23"/>
      <c r="I6" s="22" t="s">
        <v>507</v>
      </c>
      <c r="J6" s="22" t="s">
        <v>506</v>
      </c>
      <c r="K6" s="23"/>
      <c r="L6" s="22" t="s">
        <v>507</v>
      </c>
      <c r="M6" s="22" t="s">
        <v>506</v>
      </c>
      <c r="N6" s="23"/>
      <c r="O6" s="22" t="s">
        <v>505</v>
      </c>
      <c r="P6" s="22" t="s">
        <v>506</v>
      </c>
    </row>
    <row r="7" spans="1:16">
      <c r="A7" s="21">
        <v>1</v>
      </c>
      <c r="B7" s="17" t="s">
        <v>501</v>
      </c>
      <c r="C7" s="19">
        <v>435</v>
      </c>
      <c r="D7" s="24">
        <f>C7/$C$51</f>
        <v>8.2857142857142851E-2</v>
      </c>
      <c r="E7" s="17" t="s">
        <v>508</v>
      </c>
      <c r="F7" s="19">
        <f>241+75</f>
        <v>316</v>
      </c>
      <c r="G7" s="24">
        <f>F7/$F$51</f>
        <v>5.7769652650822671E-2</v>
      </c>
      <c r="H7" s="17" t="s">
        <v>508</v>
      </c>
      <c r="I7" s="17">
        <f>336+177+46+39</f>
        <v>598</v>
      </c>
      <c r="J7" s="24">
        <f>I7/$I$51</f>
        <v>0.11242714796014289</v>
      </c>
      <c r="K7" s="33" t="s">
        <v>509</v>
      </c>
      <c r="L7" s="34">
        <f>212+259</f>
        <v>471</v>
      </c>
      <c r="M7" s="24">
        <f>L7/$L$51</f>
        <v>0.10383597883597884</v>
      </c>
      <c r="N7" s="17" t="s">
        <v>510</v>
      </c>
      <c r="O7" s="19">
        <f>318+177</f>
        <v>495</v>
      </c>
      <c r="P7" s="24">
        <f>O7/$O$51</f>
        <v>0.10036496350364964</v>
      </c>
    </row>
    <row r="8" spans="1:16">
      <c r="A8" s="21">
        <v>2</v>
      </c>
      <c r="B8" s="17" t="s">
        <v>511</v>
      </c>
      <c r="C8" s="19">
        <v>277</v>
      </c>
      <c r="D8" s="24">
        <f t="shared" ref="D8:D49" si="0">C8/$C$51</f>
        <v>5.276190476190476E-2</v>
      </c>
      <c r="E8" s="18" t="s">
        <v>512</v>
      </c>
      <c r="F8" s="19">
        <v>302</v>
      </c>
      <c r="G8" s="24">
        <f t="shared" ref="G8:G42" si="1">F8/$F$51</f>
        <v>5.521023765996344E-2</v>
      </c>
      <c r="H8" s="17" t="s">
        <v>513</v>
      </c>
      <c r="I8" s="17">
        <f>318+18</f>
        <v>336</v>
      </c>
      <c r="J8" s="24">
        <f t="shared" ref="J8:J42" si="2">I8/$I$51</f>
        <v>6.3169768753525105E-2</v>
      </c>
      <c r="K8" s="17" t="s">
        <v>514</v>
      </c>
      <c r="L8" s="19">
        <f>241+167</f>
        <v>408</v>
      </c>
      <c r="M8" s="24">
        <f t="shared" ref="M8:M32" si="3">L8/$L$51</f>
        <v>8.9947089947089942E-2</v>
      </c>
      <c r="N8" s="17" t="s">
        <v>515</v>
      </c>
      <c r="O8" s="19">
        <f>297+187</f>
        <v>484</v>
      </c>
      <c r="P8" s="24">
        <f t="shared" ref="P8:P33" si="4">O8/$O$51</f>
        <v>9.813463098134631E-2</v>
      </c>
    </row>
    <row r="9" spans="1:16">
      <c r="A9" s="21">
        <v>3</v>
      </c>
      <c r="B9" s="17" t="s">
        <v>516</v>
      </c>
      <c r="C9" s="19">
        <v>266</v>
      </c>
      <c r="D9" s="24">
        <f t="shared" si="0"/>
        <v>5.0666666666666665E-2</v>
      </c>
      <c r="E9" s="18" t="s">
        <v>517</v>
      </c>
      <c r="F9" s="19">
        <v>301</v>
      </c>
      <c r="G9" s="24">
        <f t="shared" si="1"/>
        <v>5.5027422303473489E-2</v>
      </c>
      <c r="H9" s="17" t="s">
        <v>514</v>
      </c>
      <c r="I9" s="17">
        <f>187+124</f>
        <v>311</v>
      </c>
      <c r="J9" s="24">
        <f t="shared" si="2"/>
        <v>5.8469637149840194E-2</v>
      </c>
      <c r="K9" s="17" t="s">
        <v>504</v>
      </c>
      <c r="L9" s="19">
        <v>336</v>
      </c>
      <c r="M9" s="24">
        <f t="shared" si="3"/>
        <v>7.407407407407407E-2</v>
      </c>
      <c r="N9" s="17" t="s">
        <v>502</v>
      </c>
      <c r="O9" s="19">
        <f>226+241</f>
        <v>467</v>
      </c>
      <c r="P9" s="24">
        <f t="shared" si="4"/>
        <v>9.4687753446877534E-2</v>
      </c>
    </row>
    <row r="10" spans="1:16">
      <c r="A10" s="21">
        <v>4</v>
      </c>
      <c r="B10" s="17" t="s">
        <v>518</v>
      </c>
      <c r="C10" s="19">
        <v>259</v>
      </c>
      <c r="D10" s="24">
        <f t="shared" si="0"/>
        <v>4.9333333333333333E-2</v>
      </c>
      <c r="E10" s="17" t="s">
        <v>519</v>
      </c>
      <c r="F10" s="19">
        <v>277</v>
      </c>
      <c r="G10" s="24">
        <f t="shared" si="1"/>
        <v>5.0639853747714805E-2</v>
      </c>
      <c r="H10" s="17" t="s">
        <v>520</v>
      </c>
      <c r="I10" s="17">
        <v>297</v>
      </c>
      <c r="J10" s="24">
        <f t="shared" si="2"/>
        <v>5.5837563451776651E-2</v>
      </c>
      <c r="K10" s="17" t="s">
        <v>520</v>
      </c>
      <c r="L10" s="19">
        <v>318</v>
      </c>
      <c r="M10" s="24">
        <f t="shared" si="3"/>
        <v>7.0105820105820102E-2</v>
      </c>
      <c r="N10" s="17" t="s">
        <v>520</v>
      </c>
      <c r="O10" s="19">
        <v>336</v>
      </c>
      <c r="P10" s="24">
        <f t="shared" si="4"/>
        <v>6.8126520681265207E-2</v>
      </c>
    </row>
    <row r="11" spans="1:16">
      <c r="A11" s="21">
        <v>5</v>
      </c>
      <c r="B11" s="17" t="s">
        <v>521</v>
      </c>
      <c r="C11" s="19">
        <v>257</v>
      </c>
      <c r="D11" s="24">
        <f t="shared" si="0"/>
        <v>4.8952380952380956E-2</v>
      </c>
      <c r="E11" s="17" t="s">
        <v>522</v>
      </c>
      <c r="F11" s="19">
        <f>199+63</f>
        <v>262</v>
      </c>
      <c r="G11" s="24">
        <f t="shared" si="1"/>
        <v>4.789762340036563E-2</v>
      </c>
      <c r="H11" s="17" t="s">
        <v>516</v>
      </c>
      <c r="I11" s="17">
        <v>277</v>
      </c>
      <c r="J11" s="24">
        <f t="shared" si="2"/>
        <v>5.2077458168828729E-2</v>
      </c>
      <c r="K11" s="17" t="s">
        <v>518</v>
      </c>
      <c r="L11" s="19">
        <v>297</v>
      </c>
      <c r="M11" s="24">
        <f t="shared" si="3"/>
        <v>6.5476190476190479E-2</v>
      </c>
      <c r="N11" s="17" t="s">
        <v>523</v>
      </c>
      <c r="O11" s="19">
        <v>277</v>
      </c>
      <c r="P11" s="24">
        <f t="shared" si="4"/>
        <v>5.6163828061638284E-2</v>
      </c>
    </row>
    <row r="12" spans="1:16">
      <c r="A12" s="21">
        <v>6</v>
      </c>
      <c r="B12" s="17" t="s">
        <v>524</v>
      </c>
      <c r="C12" s="19">
        <v>241</v>
      </c>
      <c r="D12" s="24">
        <f t="shared" si="0"/>
        <v>4.5904761904761907E-2</v>
      </c>
      <c r="E12" s="17" t="s">
        <v>525</v>
      </c>
      <c r="F12" s="19">
        <v>259</v>
      </c>
      <c r="G12" s="24">
        <f t="shared" si="1"/>
        <v>4.7349177330895796E-2</v>
      </c>
      <c r="H12" s="17" t="s">
        <v>519</v>
      </c>
      <c r="I12" s="17">
        <v>259</v>
      </c>
      <c r="J12" s="24">
        <f t="shared" si="2"/>
        <v>4.86933634141756E-2</v>
      </c>
      <c r="K12" s="17" t="s">
        <v>526</v>
      </c>
      <c r="L12" s="19">
        <v>277</v>
      </c>
      <c r="M12" s="24">
        <f t="shared" si="3"/>
        <v>6.106701940035273E-2</v>
      </c>
      <c r="N12" s="17" t="s">
        <v>527</v>
      </c>
      <c r="O12" s="19">
        <f>109+119+37</f>
        <v>265</v>
      </c>
      <c r="P12" s="24">
        <f t="shared" si="4"/>
        <v>5.373073803730738E-2</v>
      </c>
    </row>
    <row r="13" spans="1:16">
      <c r="A13" s="21">
        <v>7</v>
      </c>
      <c r="B13" s="17" t="s">
        <v>508</v>
      </c>
      <c r="C13" s="19">
        <v>226</v>
      </c>
      <c r="D13" s="24">
        <f t="shared" si="0"/>
        <v>4.304761904761905E-2</v>
      </c>
      <c r="E13" s="18" t="s">
        <v>528</v>
      </c>
      <c r="F13" s="19">
        <v>251</v>
      </c>
      <c r="G13" s="24">
        <f t="shared" si="1"/>
        <v>4.5886654478976233E-2</v>
      </c>
      <c r="H13" s="17" t="s">
        <v>522</v>
      </c>
      <c r="I13" s="17">
        <v>241</v>
      </c>
      <c r="J13" s="24">
        <f t="shared" si="2"/>
        <v>4.5309268659522464E-2</v>
      </c>
      <c r="K13" s="17" t="s">
        <v>521</v>
      </c>
      <c r="L13" s="19">
        <f>158+49+34</f>
        <v>241</v>
      </c>
      <c r="M13" s="24">
        <f t="shared" si="3"/>
        <v>5.3130511463844794E-2</v>
      </c>
      <c r="N13" s="17" t="s">
        <v>529</v>
      </c>
      <c r="O13" s="19">
        <v>259</v>
      </c>
      <c r="P13" s="24">
        <f t="shared" si="4"/>
        <v>5.2514193025141931E-2</v>
      </c>
    </row>
    <row r="14" spans="1:16">
      <c r="A14" s="21">
        <v>8</v>
      </c>
      <c r="B14" s="17" t="s">
        <v>530</v>
      </c>
      <c r="C14" s="19">
        <v>218</v>
      </c>
      <c r="D14" s="24">
        <f t="shared" si="0"/>
        <v>4.1523809523809525E-2</v>
      </c>
      <c r="E14" s="18" t="s">
        <v>531</v>
      </c>
      <c r="F14" s="19">
        <v>230</v>
      </c>
      <c r="G14" s="24">
        <f t="shared" si="1"/>
        <v>4.2047531992687383E-2</v>
      </c>
      <c r="H14" s="17" t="s">
        <v>515</v>
      </c>
      <c r="I14" s="17">
        <f>143+85</f>
        <v>228</v>
      </c>
      <c r="J14" s="24">
        <f t="shared" si="2"/>
        <v>4.2865200225606317E-2</v>
      </c>
      <c r="K14" s="17" t="s">
        <v>532</v>
      </c>
      <c r="L14" s="19">
        <v>226</v>
      </c>
      <c r="M14" s="24">
        <f t="shared" si="3"/>
        <v>4.9823633156966488E-2</v>
      </c>
      <c r="N14" s="17" t="s">
        <v>518</v>
      </c>
      <c r="O14" s="19">
        <v>212</v>
      </c>
      <c r="P14" s="24">
        <f t="shared" si="4"/>
        <v>4.2984590429845905E-2</v>
      </c>
    </row>
    <row r="15" spans="1:16">
      <c r="A15" s="21">
        <v>9</v>
      </c>
      <c r="B15" s="17" t="s">
        <v>533</v>
      </c>
      <c r="C15" s="19">
        <v>212</v>
      </c>
      <c r="D15" s="24">
        <f t="shared" si="0"/>
        <v>4.0380952380952378E-2</v>
      </c>
      <c r="E15" s="17" t="s">
        <v>534</v>
      </c>
      <c r="F15" s="19">
        <v>226</v>
      </c>
      <c r="G15" s="24">
        <f t="shared" si="1"/>
        <v>4.1316270566727605E-2</v>
      </c>
      <c r="H15" s="17" t="s">
        <v>523</v>
      </c>
      <c r="I15" s="17">
        <v>226</v>
      </c>
      <c r="J15" s="24">
        <f t="shared" si="2"/>
        <v>4.2489189697311525E-2</v>
      </c>
      <c r="K15" s="17" t="s">
        <v>535</v>
      </c>
      <c r="L15" s="19">
        <f>105+109</f>
        <v>214</v>
      </c>
      <c r="M15" s="24">
        <f t="shared" si="3"/>
        <v>4.7178130511463842E-2</v>
      </c>
      <c r="N15" s="17" t="s">
        <v>516</v>
      </c>
      <c r="O15" s="19">
        <v>199</v>
      </c>
      <c r="P15" s="24">
        <f t="shared" si="4"/>
        <v>4.0348742903487431E-2</v>
      </c>
    </row>
    <row r="16" spans="1:16">
      <c r="A16" s="21">
        <v>10</v>
      </c>
      <c r="B16" s="17" t="s">
        <v>536</v>
      </c>
      <c r="C16" s="19">
        <v>167</v>
      </c>
      <c r="D16" s="24">
        <f t="shared" si="0"/>
        <v>3.1809523809523808E-2</v>
      </c>
      <c r="E16" s="17" t="s">
        <v>537</v>
      </c>
      <c r="F16" s="19">
        <f>105+91</f>
        <v>196</v>
      </c>
      <c r="G16" s="24">
        <f t="shared" si="1"/>
        <v>3.5831809872029254E-2</v>
      </c>
      <c r="H16" s="17" t="s">
        <v>538</v>
      </c>
      <c r="I16" s="17">
        <v>212</v>
      </c>
      <c r="J16" s="24">
        <f t="shared" si="2"/>
        <v>3.9857115999247981E-2</v>
      </c>
      <c r="K16" s="17" t="s">
        <v>539</v>
      </c>
      <c r="L16" s="19">
        <v>199</v>
      </c>
      <c r="M16" s="24">
        <f t="shared" si="3"/>
        <v>4.3871252204585535E-2</v>
      </c>
      <c r="N16" s="17" t="s">
        <v>540</v>
      </c>
      <c r="O16" s="19">
        <v>167</v>
      </c>
      <c r="P16" s="24">
        <f t="shared" si="4"/>
        <v>3.3860502838605026E-2</v>
      </c>
    </row>
    <row r="17" spans="1:16">
      <c r="A17" s="21">
        <v>11</v>
      </c>
      <c r="B17" s="17" t="s">
        <v>541</v>
      </c>
      <c r="C17" s="19">
        <v>158</v>
      </c>
      <c r="D17" s="24">
        <f t="shared" si="0"/>
        <v>3.0095238095238095E-2</v>
      </c>
      <c r="E17" s="17" t="s">
        <v>520</v>
      </c>
      <c r="F17" s="19">
        <v>187</v>
      </c>
      <c r="G17" s="24">
        <f t="shared" si="1"/>
        <v>3.4186471663619745E-2</v>
      </c>
      <c r="H17" s="17" t="s">
        <v>510</v>
      </c>
      <c r="I17" s="17">
        <v>199</v>
      </c>
      <c r="J17" s="24">
        <f t="shared" si="2"/>
        <v>3.7413047565331828E-2</v>
      </c>
      <c r="K17" s="17" t="s">
        <v>542</v>
      </c>
      <c r="L17" s="19">
        <v>187</v>
      </c>
      <c r="M17" s="24">
        <f t="shared" si="3"/>
        <v>4.122574955908289E-2</v>
      </c>
      <c r="N17" s="17" t="s">
        <v>543</v>
      </c>
      <c r="O17" s="19">
        <v>158</v>
      </c>
      <c r="P17" s="24">
        <f t="shared" si="4"/>
        <v>3.2035685320356853E-2</v>
      </c>
    </row>
    <row r="18" spans="1:16">
      <c r="A18" s="21">
        <v>12</v>
      </c>
      <c r="B18" s="17" t="s">
        <v>544</v>
      </c>
      <c r="C18" s="19">
        <v>150</v>
      </c>
      <c r="D18" s="24">
        <f t="shared" si="0"/>
        <v>2.8571428571428571E-2</v>
      </c>
      <c r="E18" s="17" t="s">
        <v>545</v>
      </c>
      <c r="F18" s="19">
        <v>177</v>
      </c>
      <c r="G18" s="24">
        <f t="shared" si="1"/>
        <v>3.2358318098720293E-2</v>
      </c>
      <c r="H18" s="17" t="s">
        <v>529</v>
      </c>
      <c r="I18" s="17">
        <v>167</v>
      </c>
      <c r="J18" s="24">
        <f t="shared" si="2"/>
        <v>3.1396879112615156E-2</v>
      </c>
      <c r="K18" s="17" t="s">
        <v>536</v>
      </c>
      <c r="L18" s="19">
        <v>177</v>
      </c>
      <c r="M18" s="24">
        <f t="shared" si="3"/>
        <v>3.9021164021164019E-2</v>
      </c>
      <c r="N18" s="17" t="s">
        <v>546</v>
      </c>
      <c r="O18" s="19">
        <v>150</v>
      </c>
      <c r="P18" s="24">
        <f t="shared" si="4"/>
        <v>3.0413625304136254E-2</v>
      </c>
    </row>
    <row r="19" spans="1:16">
      <c r="A19" s="21">
        <v>13</v>
      </c>
      <c r="B19" s="17" t="s">
        <v>514</v>
      </c>
      <c r="C19" s="19">
        <v>143</v>
      </c>
      <c r="D19" s="24">
        <f t="shared" si="0"/>
        <v>2.7238095238095238E-2</v>
      </c>
      <c r="E19" s="17" t="s">
        <v>504</v>
      </c>
      <c r="F19" s="19">
        <v>167</v>
      </c>
      <c r="G19" s="24">
        <f t="shared" si="1"/>
        <v>3.053016453382084E-2</v>
      </c>
      <c r="H19" s="17" t="s">
        <v>547</v>
      </c>
      <c r="I19" s="17">
        <v>158</v>
      </c>
      <c r="J19" s="24">
        <f t="shared" si="2"/>
        <v>2.9704831735288588E-2</v>
      </c>
      <c r="K19" s="17" t="s">
        <v>548</v>
      </c>
      <c r="L19" s="19">
        <v>150</v>
      </c>
      <c r="M19" s="24">
        <f t="shared" si="3"/>
        <v>3.3068783068783067E-2</v>
      </c>
      <c r="N19" s="17" t="s">
        <v>508</v>
      </c>
      <c r="O19" s="19">
        <v>143</v>
      </c>
      <c r="P19" s="24">
        <f t="shared" si="4"/>
        <v>2.8994322789943228E-2</v>
      </c>
    </row>
    <row r="20" spans="1:16">
      <c r="A20" s="21">
        <v>14</v>
      </c>
      <c r="B20" s="17" t="s">
        <v>549</v>
      </c>
      <c r="C20" s="19">
        <v>136</v>
      </c>
      <c r="D20" s="24">
        <f t="shared" si="0"/>
        <v>2.5904761904761906E-2</v>
      </c>
      <c r="E20" s="18" t="s">
        <v>522</v>
      </c>
      <c r="F20" s="19">
        <v>153</v>
      </c>
      <c r="G20" s="24">
        <f t="shared" si="1"/>
        <v>2.7970749542961609E-2</v>
      </c>
      <c r="H20" s="17" t="s">
        <v>550</v>
      </c>
      <c r="I20" s="17">
        <v>150</v>
      </c>
      <c r="J20" s="24">
        <f t="shared" si="2"/>
        <v>2.820078962210942E-2</v>
      </c>
      <c r="K20" s="17" t="s">
        <v>529</v>
      </c>
      <c r="L20" s="19">
        <v>130</v>
      </c>
      <c r="M20" s="24">
        <f t="shared" si="3"/>
        <v>2.8659611992945325E-2</v>
      </c>
      <c r="N20" s="17" t="s">
        <v>551</v>
      </c>
      <c r="O20" s="19">
        <v>136</v>
      </c>
      <c r="P20" s="24">
        <f t="shared" si="4"/>
        <v>2.7575020275750203E-2</v>
      </c>
    </row>
    <row r="21" spans="1:16">
      <c r="A21" s="21">
        <v>15</v>
      </c>
      <c r="B21" s="17" t="s">
        <v>551</v>
      </c>
      <c r="C21" s="19">
        <v>124</v>
      </c>
      <c r="D21" s="24">
        <f t="shared" si="0"/>
        <v>2.3619047619047619E-2</v>
      </c>
      <c r="E21" s="18" t="s">
        <v>544</v>
      </c>
      <c r="F21" s="19">
        <v>144</v>
      </c>
      <c r="G21" s="24">
        <f t="shared" si="1"/>
        <v>2.6325411334552101E-2</v>
      </c>
      <c r="H21" s="17" t="s">
        <v>552</v>
      </c>
      <c r="I21" s="17">
        <v>136</v>
      </c>
      <c r="J21" s="24">
        <f t="shared" si="2"/>
        <v>2.5568715924045873E-2</v>
      </c>
      <c r="K21" s="17" t="s">
        <v>553</v>
      </c>
      <c r="L21" s="19">
        <v>114</v>
      </c>
      <c r="M21" s="24">
        <f t="shared" si="3"/>
        <v>2.5132275132275131E-2</v>
      </c>
      <c r="N21" s="17" t="s">
        <v>554</v>
      </c>
      <c r="O21" s="19">
        <f>60+72</f>
        <v>132</v>
      </c>
      <c r="P21" s="24">
        <f t="shared" si="4"/>
        <v>2.6763990267639901E-2</v>
      </c>
    </row>
    <row r="22" spans="1:16">
      <c r="A22" s="21">
        <v>16</v>
      </c>
      <c r="B22" s="27" t="s">
        <v>555</v>
      </c>
      <c r="C22" s="28">
        <v>122</v>
      </c>
      <c r="D22" s="24">
        <f t="shared" si="0"/>
        <v>2.3238095238095238E-2</v>
      </c>
      <c r="E22" s="17" t="s">
        <v>549</v>
      </c>
      <c r="F22" s="19">
        <v>143</v>
      </c>
      <c r="G22" s="24">
        <f t="shared" si="1"/>
        <v>2.6142595978062157E-2</v>
      </c>
      <c r="H22" s="33" t="s">
        <v>509</v>
      </c>
      <c r="I22" s="33">
        <v>130</v>
      </c>
      <c r="J22" s="24">
        <f t="shared" si="2"/>
        <v>2.4440684339161498E-2</v>
      </c>
      <c r="K22" s="17" t="s">
        <v>523</v>
      </c>
      <c r="L22" s="19">
        <v>101</v>
      </c>
      <c r="M22" s="24">
        <f t="shared" si="3"/>
        <v>2.2266313932980598E-2</v>
      </c>
      <c r="N22" s="17" t="s">
        <v>556</v>
      </c>
      <c r="O22" s="19">
        <v>130</v>
      </c>
      <c r="P22" s="24">
        <f t="shared" si="4"/>
        <v>2.6358475263584754E-2</v>
      </c>
    </row>
    <row r="23" spans="1:16">
      <c r="A23" s="21">
        <v>17</v>
      </c>
      <c r="B23" s="17" t="s">
        <v>557</v>
      </c>
      <c r="C23" s="19">
        <v>109</v>
      </c>
      <c r="D23" s="24">
        <f t="shared" si="0"/>
        <v>2.0761904761904763E-2</v>
      </c>
      <c r="E23" s="17" t="s">
        <v>518</v>
      </c>
      <c r="F23" s="19">
        <v>136</v>
      </c>
      <c r="G23" s="24">
        <f t="shared" si="1"/>
        <v>2.4862888482632541E-2</v>
      </c>
      <c r="H23" s="17" t="s">
        <v>558</v>
      </c>
      <c r="I23" s="17">
        <v>119</v>
      </c>
      <c r="J23" s="24">
        <f t="shared" si="2"/>
        <v>2.2372626433540137E-2</v>
      </c>
      <c r="K23" s="17" t="s">
        <v>515</v>
      </c>
      <c r="L23" s="19">
        <v>97</v>
      </c>
      <c r="M23" s="24">
        <f t="shared" si="3"/>
        <v>2.138447971781305E-2</v>
      </c>
      <c r="N23" s="17" t="s">
        <v>559</v>
      </c>
      <c r="O23" s="19">
        <v>124</v>
      </c>
      <c r="P23" s="24">
        <f t="shared" si="4"/>
        <v>2.5141930251419302E-2</v>
      </c>
    </row>
    <row r="24" spans="1:16">
      <c r="A24" s="21">
        <v>18</v>
      </c>
      <c r="B24" s="17" t="s">
        <v>560</v>
      </c>
      <c r="C24" s="19">
        <v>105</v>
      </c>
      <c r="D24" s="24">
        <f t="shared" si="0"/>
        <v>0.02</v>
      </c>
      <c r="E24" s="17" t="s">
        <v>558</v>
      </c>
      <c r="F24" s="19">
        <v>130</v>
      </c>
      <c r="G24" s="24">
        <f t="shared" si="1"/>
        <v>2.376599634369287E-2</v>
      </c>
      <c r="H24" s="17" t="s">
        <v>516</v>
      </c>
      <c r="I24" s="17">
        <v>114</v>
      </c>
      <c r="J24" s="24">
        <f t="shared" si="2"/>
        <v>2.1432600112803159E-2</v>
      </c>
      <c r="K24" s="17" t="s">
        <v>556</v>
      </c>
      <c r="L24" s="19">
        <v>91</v>
      </c>
      <c r="M24" s="24">
        <f t="shared" si="3"/>
        <v>2.0061728395061727E-2</v>
      </c>
      <c r="N24" s="17" t="s">
        <v>522</v>
      </c>
      <c r="O24" s="19">
        <v>101</v>
      </c>
      <c r="P24" s="24">
        <f t="shared" si="4"/>
        <v>2.0478507704785077E-2</v>
      </c>
    </row>
    <row r="25" spans="1:16">
      <c r="A25" s="21">
        <v>19</v>
      </c>
      <c r="B25" s="17" t="s">
        <v>547</v>
      </c>
      <c r="C25" s="19">
        <v>101</v>
      </c>
      <c r="D25" s="24">
        <f t="shared" si="0"/>
        <v>1.9238095238095238E-2</v>
      </c>
      <c r="E25" s="18" t="s">
        <v>502</v>
      </c>
      <c r="F25" s="19">
        <v>126</v>
      </c>
      <c r="G25" s="24">
        <f t="shared" si="1"/>
        <v>2.3034734917733089E-2</v>
      </c>
      <c r="H25" s="31" t="s">
        <v>571</v>
      </c>
      <c r="I25" s="31">
        <v>105</v>
      </c>
      <c r="J25" s="24">
        <f t="shared" si="2"/>
        <v>1.9740552735476594E-2</v>
      </c>
      <c r="K25" s="17" t="s">
        <v>510</v>
      </c>
      <c r="L25" s="19">
        <v>75</v>
      </c>
      <c r="M25" s="24">
        <f t="shared" si="3"/>
        <v>1.6534391534391533E-2</v>
      </c>
      <c r="N25" s="17" t="s">
        <v>561</v>
      </c>
      <c r="O25" s="19">
        <v>94</v>
      </c>
      <c r="P25" s="24">
        <f t="shared" si="4"/>
        <v>1.9059205190592052E-2</v>
      </c>
    </row>
    <row r="26" spans="1:16">
      <c r="A26" s="21">
        <v>20</v>
      </c>
      <c r="B26" s="17" t="s">
        <v>538</v>
      </c>
      <c r="C26" s="19">
        <v>97</v>
      </c>
      <c r="D26" s="24">
        <f t="shared" si="0"/>
        <v>1.8476190476190476E-2</v>
      </c>
      <c r="E26" s="18" t="s">
        <v>562</v>
      </c>
      <c r="F26" s="19">
        <v>126</v>
      </c>
      <c r="G26" s="24">
        <f t="shared" si="1"/>
        <v>2.3034734917733089E-2</v>
      </c>
      <c r="H26" s="17" t="s">
        <v>541</v>
      </c>
      <c r="I26" s="17">
        <v>101</v>
      </c>
      <c r="J26" s="24">
        <f t="shared" si="2"/>
        <v>1.8988531678887009E-2</v>
      </c>
      <c r="K26" s="17" t="s">
        <v>563</v>
      </c>
      <c r="L26" s="19">
        <v>72</v>
      </c>
      <c r="M26" s="24">
        <f t="shared" si="3"/>
        <v>1.5873015873015872E-2</v>
      </c>
      <c r="N26" s="17" t="s">
        <v>564</v>
      </c>
      <c r="O26" s="19">
        <v>91</v>
      </c>
      <c r="P26" s="24">
        <f t="shared" si="4"/>
        <v>1.8450932684509327E-2</v>
      </c>
    </row>
    <row r="27" spans="1:16">
      <c r="A27" s="21">
        <v>21</v>
      </c>
      <c r="B27" s="17" t="s">
        <v>526</v>
      </c>
      <c r="C27" s="19">
        <v>94</v>
      </c>
      <c r="D27" s="24">
        <f t="shared" si="0"/>
        <v>1.7904761904761906E-2</v>
      </c>
      <c r="E27" s="17" t="s">
        <v>524</v>
      </c>
      <c r="F27" s="19">
        <v>124</v>
      </c>
      <c r="G27" s="24">
        <f t="shared" si="1"/>
        <v>2.2669104204753199E-2</v>
      </c>
      <c r="H27" s="17" t="s">
        <v>565</v>
      </c>
      <c r="I27" s="17">
        <v>94</v>
      </c>
      <c r="J27" s="24">
        <f t="shared" si="2"/>
        <v>1.7672494829855237E-2</v>
      </c>
      <c r="K27" s="17" t="s">
        <v>547</v>
      </c>
      <c r="L27" s="19">
        <v>70</v>
      </c>
      <c r="M27" s="24">
        <f t="shared" si="3"/>
        <v>1.5432098765432098E-2</v>
      </c>
      <c r="N27" s="17" t="s">
        <v>514</v>
      </c>
      <c r="O27" s="19">
        <v>88</v>
      </c>
      <c r="P27" s="24">
        <f t="shared" si="4"/>
        <v>1.7842660178426603E-2</v>
      </c>
    </row>
    <row r="28" spans="1:16">
      <c r="A28" s="21">
        <v>22</v>
      </c>
      <c r="B28" s="17" t="s">
        <v>520</v>
      </c>
      <c r="C28" s="19">
        <v>91</v>
      </c>
      <c r="D28" s="24">
        <f t="shared" si="0"/>
        <v>1.7333333333333333E-2</v>
      </c>
      <c r="E28" s="17" t="s">
        <v>515</v>
      </c>
      <c r="F28" s="19">
        <f>54+67</f>
        <v>121</v>
      </c>
      <c r="G28" s="24">
        <f t="shared" si="1"/>
        <v>2.2120658135283362E-2</v>
      </c>
      <c r="H28" s="17" t="s">
        <v>548</v>
      </c>
      <c r="I28" s="17">
        <v>91</v>
      </c>
      <c r="J28" s="24">
        <f t="shared" si="2"/>
        <v>1.7108479037413048E-2</v>
      </c>
      <c r="K28" s="27" t="s">
        <v>555</v>
      </c>
      <c r="L28" s="28">
        <v>68</v>
      </c>
      <c r="M28" s="24">
        <f t="shared" si="3"/>
        <v>1.4991181657848324E-2</v>
      </c>
      <c r="N28" s="17" t="s">
        <v>526</v>
      </c>
      <c r="O28" s="19">
        <v>85</v>
      </c>
      <c r="P28" s="24">
        <f t="shared" si="4"/>
        <v>1.7234387672343875E-2</v>
      </c>
    </row>
    <row r="29" spans="1:16">
      <c r="A29" s="21">
        <v>23</v>
      </c>
      <c r="B29" s="17" t="s">
        <v>504</v>
      </c>
      <c r="C29" s="19">
        <v>88</v>
      </c>
      <c r="D29" s="24">
        <f t="shared" si="0"/>
        <v>1.6761904761904763E-2</v>
      </c>
      <c r="E29" s="17" t="s">
        <v>547</v>
      </c>
      <c r="F29" s="19">
        <v>114</v>
      </c>
      <c r="G29" s="24">
        <f t="shared" si="1"/>
        <v>2.0840950639853747E-2</v>
      </c>
      <c r="H29" s="17" t="s">
        <v>566</v>
      </c>
      <c r="I29" s="17">
        <v>82</v>
      </c>
      <c r="J29" s="24">
        <f t="shared" si="2"/>
        <v>1.5416431660086483E-2</v>
      </c>
      <c r="K29" s="17" t="s">
        <v>567</v>
      </c>
      <c r="L29" s="19">
        <v>65</v>
      </c>
      <c r="M29" s="24">
        <f t="shared" si="3"/>
        <v>1.4329805996472662E-2</v>
      </c>
      <c r="N29" s="17" t="s">
        <v>568</v>
      </c>
      <c r="O29" s="19">
        <v>82</v>
      </c>
      <c r="P29" s="24">
        <f t="shared" si="4"/>
        <v>1.6626115166261151E-2</v>
      </c>
    </row>
    <row r="30" spans="1:16">
      <c r="A30" s="21">
        <v>24</v>
      </c>
      <c r="B30" s="33" t="s">
        <v>509</v>
      </c>
      <c r="C30" s="34">
        <v>88</v>
      </c>
      <c r="D30" s="24">
        <f t="shared" si="0"/>
        <v>1.6761904761904763E-2</v>
      </c>
      <c r="E30" s="17" t="s">
        <v>548</v>
      </c>
      <c r="F30" s="19">
        <v>109</v>
      </c>
      <c r="G30" s="24">
        <f t="shared" si="1"/>
        <v>1.9926873857404021E-2</v>
      </c>
      <c r="H30" s="17" t="s">
        <v>526</v>
      </c>
      <c r="I30" s="17">
        <v>79</v>
      </c>
      <c r="J30" s="24">
        <f t="shared" si="2"/>
        <v>1.4852415867644294E-2</v>
      </c>
      <c r="K30" s="17" t="s">
        <v>569</v>
      </c>
      <c r="L30" s="19">
        <v>54</v>
      </c>
      <c r="M30" s="24">
        <f t="shared" si="3"/>
        <v>1.1904761904761904E-2</v>
      </c>
      <c r="N30" s="17" t="s">
        <v>542</v>
      </c>
      <c r="O30" s="19">
        <v>79</v>
      </c>
      <c r="P30" s="24">
        <f t="shared" si="4"/>
        <v>1.6017842660178427E-2</v>
      </c>
    </row>
    <row r="31" spans="1:16">
      <c r="A31" s="21">
        <v>25</v>
      </c>
      <c r="B31" s="17" t="s">
        <v>570</v>
      </c>
      <c r="C31" s="19">
        <v>85</v>
      </c>
      <c r="D31" s="24">
        <f t="shared" si="0"/>
        <v>1.6190476190476189E-2</v>
      </c>
      <c r="E31" s="17" t="s">
        <v>513</v>
      </c>
      <c r="F31" s="19">
        <v>101</v>
      </c>
      <c r="G31" s="24">
        <f t="shared" si="1"/>
        <v>1.846435100548446E-2</v>
      </c>
      <c r="H31" s="17" t="s">
        <v>525</v>
      </c>
      <c r="I31" s="17">
        <v>77</v>
      </c>
      <c r="J31" s="24">
        <f t="shared" si="2"/>
        <v>1.4476405339349501E-2</v>
      </c>
      <c r="K31" s="31" t="s">
        <v>571</v>
      </c>
      <c r="L31" s="32">
        <v>52</v>
      </c>
      <c r="M31" s="24">
        <f t="shared" si="3"/>
        <v>1.146384479717813E-2</v>
      </c>
      <c r="N31" s="27" t="s">
        <v>555</v>
      </c>
      <c r="O31" s="28">
        <v>67</v>
      </c>
      <c r="P31" s="24">
        <f t="shared" si="4"/>
        <v>1.3584752635847526E-2</v>
      </c>
    </row>
    <row r="32" spans="1:16">
      <c r="A32" s="21">
        <v>26</v>
      </c>
      <c r="B32" s="17" t="s">
        <v>572</v>
      </c>
      <c r="C32" s="19">
        <v>82</v>
      </c>
      <c r="D32" s="24">
        <f t="shared" si="0"/>
        <v>1.5619047619047619E-2</v>
      </c>
      <c r="E32" s="17" t="s">
        <v>551</v>
      </c>
      <c r="F32" s="19">
        <v>97</v>
      </c>
      <c r="G32" s="24">
        <f t="shared" si="1"/>
        <v>1.7733089579524679E-2</v>
      </c>
      <c r="H32" s="17" t="s">
        <v>573</v>
      </c>
      <c r="I32" s="17">
        <v>70</v>
      </c>
      <c r="J32" s="24">
        <f t="shared" si="2"/>
        <v>1.316036849031773E-2</v>
      </c>
      <c r="K32" s="17" t="s">
        <v>508</v>
      </c>
      <c r="L32" s="19">
        <v>46</v>
      </c>
      <c r="M32" s="24">
        <f t="shared" si="3"/>
        <v>1.0141093474426807E-2</v>
      </c>
      <c r="N32" s="17" t="s">
        <v>574</v>
      </c>
      <c r="O32" s="19">
        <v>65</v>
      </c>
      <c r="P32" s="24">
        <f t="shared" si="4"/>
        <v>1.3179237631792377E-2</v>
      </c>
    </row>
    <row r="33" spans="1:16">
      <c r="A33" s="21">
        <v>27</v>
      </c>
      <c r="B33" s="17" t="s">
        <v>575</v>
      </c>
      <c r="C33" s="19">
        <v>77</v>
      </c>
      <c r="D33" s="24">
        <f t="shared" si="0"/>
        <v>1.4666666666666666E-2</v>
      </c>
      <c r="E33" s="17" t="s">
        <v>514</v>
      </c>
      <c r="F33" s="19">
        <v>94</v>
      </c>
      <c r="G33" s="24">
        <f t="shared" si="1"/>
        <v>1.7184643510054845E-2</v>
      </c>
      <c r="H33" s="17" t="s">
        <v>576</v>
      </c>
      <c r="I33" s="17">
        <v>67</v>
      </c>
      <c r="J33" s="24">
        <f t="shared" si="2"/>
        <v>1.259635269787554E-2</v>
      </c>
      <c r="K33" s="17"/>
      <c r="L33" s="17"/>
      <c r="M33" s="17"/>
      <c r="N33" s="31" t="s">
        <v>571</v>
      </c>
      <c r="O33" s="32">
        <v>46</v>
      </c>
      <c r="P33" s="24">
        <f t="shared" si="4"/>
        <v>9.3268450932684505E-3</v>
      </c>
    </row>
    <row r="34" spans="1:16">
      <c r="A34" s="21">
        <v>28</v>
      </c>
      <c r="B34" s="17" t="s">
        <v>577</v>
      </c>
      <c r="C34" s="19">
        <v>72</v>
      </c>
      <c r="D34" s="24">
        <f t="shared" si="0"/>
        <v>1.3714285714285714E-2</v>
      </c>
      <c r="E34" s="17" t="s">
        <v>552</v>
      </c>
      <c r="F34" s="19">
        <v>88</v>
      </c>
      <c r="G34" s="24">
        <f t="shared" si="1"/>
        <v>1.6087751371115174E-2</v>
      </c>
      <c r="H34" s="17" t="s">
        <v>573</v>
      </c>
      <c r="I34" s="17">
        <v>61</v>
      </c>
      <c r="J34" s="24">
        <f t="shared" si="2"/>
        <v>1.1468321112991163E-2</v>
      </c>
      <c r="K34" s="17"/>
      <c r="L34" s="17"/>
      <c r="M34" s="17"/>
      <c r="N34" s="17"/>
      <c r="O34" s="17"/>
      <c r="P34" s="17"/>
    </row>
    <row r="35" spans="1:16">
      <c r="A35" s="21">
        <v>29</v>
      </c>
      <c r="B35" s="17" t="s">
        <v>578</v>
      </c>
      <c r="C35" s="19">
        <v>68</v>
      </c>
      <c r="D35" s="24">
        <f t="shared" si="0"/>
        <v>1.2952380952380953E-2</v>
      </c>
      <c r="E35" s="17" t="s">
        <v>536</v>
      </c>
      <c r="F35" s="19">
        <v>85</v>
      </c>
      <c r="G35" s="24">
        <f t="shared" si="1"/>
        <v>1.5539305301645339E-2</v>
      </c>
      <c r="H35" s="17" t="s">
        <v>545</v>
      </c>
      <c r="I35" s="17">
        <v>58</v>
      </c>
      <c r="J35" s="24">
        <f t="shared" si="2"/>
        <v>1.0904305320548976E-2</v>
      </c>
      <c r="K35" s="17"/>
      <c r="L35" s="17"/>
      <c r="M35" s="17"/>
      <c r="N35" s="17"/>
      <c r="O35" s="17"/>
      <c r="P35" s="17"/>
    </row>
    <row r="36" spans="1:16">
      <c r="A36" s="21">
        <v>30</v>
      </c>
      <c r="B36" s="17" t="s">
        <v>579</v>
      </c>
      <c r="C36" s="19">
        <v>67</v>
      </c>
      <c r="D36" s="24">
        <f t="shared" si="0"/>
        <v>1.2761904761904763E-2</v>
      </c>
      <c r="E36" s="17" t="s">
        <v>510</v>
      </c>
      <c r="F36" s="19">
        <v>79</v>
      </c>
      <c r="G36" s="24">
        <f t="shared" si="1"/>
        <v>1.4442413162705668E-2</v>
      </c>
      <c r="H36" s="17" t="s">
        <v>580</v>
      </c>
      <c r="I36" s="17">
        <v>57</v>
      </c>
      <c r="J36" s="24">
        <f t="shared" si="2"/>
        <v>1.0716300056401579E-2</v>
      </c>
      <c r="K36" s="17"/>
      <c r="L36" s="17"/>
      <c r="M36" s="17"/>
      <c r="N36" s="17"/>
      <c r="O36" s="17"/>
      <c r="P36" s="17"/>
    </row>
    <row r="37" spans="1:16">
      <c r="A37" s="21">
        <v>31</v>
      </c>
      <c r="B37" s="17" t="s">
        <v>550</v>
      </c>
      <c r="C37" s="19">
        <v>65</v>
      </c>
      <c r="D37" s="24">
        <f t="shared" si="0"/>
        <v>1.2380952380952381E-2</v>
      </c>
      <c r="E37" s="17" t="s">
        <v>581</v>
      </c>
      <c r="F37" s="19">
        <v>77</v>
      </c>
      <c r="G37" s="24">
        <f t="shared" si="1"/>
        <v>1.4076782449725777E-2</v>
      </c>
      <c r="H37" s="17" t="s">
        <v>582</v>
      </c>
      <c r="I37" s="17">
        <v>54</v>
      </c>
      <c r="J37" s="24">
        <f t="shared" si="2"/>
        <v>1.015228426395939E-2</v>
      </c>
      <c r="K37" s="17"/>
      <c r="L37" s="17"/>
      <c r="M37" s="17"/>
      <c r="N37" s="17"/>
      <c r="O37" s="17"/>
      <c r="P37" s="17"/>
    </row>
    <row r="38" spans="1:16">
      <c r="A38" s="21">
        <v>32</v>
      </c>
      <c r="B38" s="17" t="s">
        <v>583</v>
      </c>
      <c r="C38" s="19">
        <v>61</v>
      </c>
      <c r="D38" s="24">
        <f t="shared" si="0"/>
        <v>1.1619047619047619E-2</v>
      </c>
      <c r="E38" s="33" t="s">
        <v>509</v>
      </c>
      <c r="F38" s="34">
        <v>72</v>
      </c>
      <c r="G38" s="24">
        <f t="shared" si="1"/>
        <v>1.3162705667276051E-2</v>
      </c>
      <c r="H38" s="17" t="s">
        <v>512</v>
      </c>
      <c r="I38" s="17">
        <v>50</v>
      </c>
      <c r="J38" s="24">
        <f t="shared" si="2"/>
        <v>9.4002632073698061E-3</v>
      </c>
      <c r="K38" s="17"/>
      <c r="L38" s="17"/>
      <c r="M38" s="17"/>
      <c r="N38" s="17"/>
      <c r="O38" s="17"/>
      <c r="P38" s="17"/>
    </row>
    <row r="39" spans="1:16">
      <c r="A39" s="21">
        <v>33</v>
      </c>
      <c r="B39" s="17" t="s">
        <v>584</v>
      </c>
      <c r="C39" s="19">
        <v>60</v>
      </c>
      <c r="D39" s="24">
        <f t="shared" si="0"/>
        <v>1.1428571428571429E-2</v>
      </c>
      <c r="E39" s="17" t="s">
        <v>555</v>
      </c>
      <c r="F39" s="19">
        <v>58</v>
      </c>
      <c r="G39" s="24">
        <f t="shared" si="1"/>
        <v>1.060329067641682E-2</v>
      </c>
      <c r="H39" s="17" t="s">
        <v>585</v>
      </c>
      <c r="I39" s="17">
        <v>35</v>
      </c>
      <c r="J39" s="24">
        <f t="shared" si="2"/>
        <v>6.5801842451588648E-3</v>
      </c>
      <c r="K39" s="17"/>
      <c r="L39" s="17"/>
      <c r="M39" s="17"/>
      <c r="N39" s="17"/>
      <c r="O39" s="17"/>
      <c r="P39" s="17"/>
    </row>
    <row r="40" spans="1:16">
      <c r="A40" s="21">
        <v>34</v>
      </c>
      <c r="B40" s="17" t="s">
        <v>519</v>
      </c>
      <c r="C40" s="19">
        <v>57</v>
      </c>
      <c r="D40" s="24">
        <f t="shared" si="0"/>
        <v>1.0857142857142857E-2</v>
      </c>
      <c r="E40" s="17" t="s">
        <v>523</v>
      </c>
      <c r="F40" s="19">
        <v>50</v>
      </c>
      <c r="G40" s="24">
        <f t="shared" si="1"/>
        <v>9.140767824497258E-3</v>
      </c>
      <c r="H40" s="17" t="s">
        <v>586</v>
      </c>
      <c r="I40" s="17">
        <v>32</v>
      </c>
      <c r="J40" s="24">
        <f t="shared" si="2"/>
        <v>6.0161684527166763E-3</v>
      </c>
      <c r="K40" s="17"/>
      <c r="L40" s="17"/>
      <c r="M40" s="17"/>
      <c r="N40" s="17"/>
      <c r="O40" s="17"/>
      <c r="P40" s="17"/>
    </row>
    <row r="41" spans="1:16">
      <c r="A41" s="21">
        <v>35</v>
      </c>
      <c r="B41" s="17" t="s">
        <v>587</v>
      </c>
      <c r="C41" s="19">
        <v>56</v>
      </c>
      <c r="D41" s="24">
        <f t="shared" si="0"/>
        <v>1.0666666666666666E-2</v>
      </c>
      <c r="E41" s="31" t="s">
        <v>571</v>
      </c>
      <c r="F41" s="32">
        <v>48</v>
      </c>
      <c r="G41" s="24">
        <f t="shared" si="1"/>
        <v>8.7751371115173671E-3</v>
      </c>
      <c r="H41" s="17" t="s">
        <v>588</v>
      </c>
      <c r="I41" s="17">
        <v>26</v>
      </c>
      <c r="J41" s="24">
        <f t="shared" si="2"/>
        <v>4.8881368678322995E-3</v>
      </c>
      <c r="K41" s="17"/>
      <c r="L41" s="17"/>
      <c r="M41" s="17"/>
      <c r="N41" s="17"/>
      <c r="O41" s="17"/>
      <c r="P41" s="17"/>
    </row>
    <row r="42" spans="1:16">
      <c r="A42" s="21">
        <v>36</v>
      </c>
      <c r="B42" s="17" t="s">
        <v>589</v>
      </c>
      <c r="C42" s="19">
        <v>52</v>
      </c>
      <c r="D42" s="24">
        <f t="shared" si="0"/>
        <v>9.9047619047619041E-3</v>
      </c>
      <c r="E42" s="17" t="s">
        <v>590</v>
      </c>
      <c r="F42" s="19">
        <v>44</v>
      </c>
      <c r="G42" s="24">
        <f t="shared" si="1"/>
        <v>8.0438756855575871E-3</v>
      </c>
      <c r="H42" s="17" t="s">
        <v>591</v>
      </c>
      <c r="I42" s="17">
        <v>22</v>
      </c>
      <c r="J42" s="24">
        <f t="shared" si="2"/>
        <v>4.1361158112427146E-3</v>
      </c>
      <c r="K42" s="17"/>
      <c r="L42" s="17"/>
      <c r="M42" s="17"/>
      <c r="N42" s="17"/>
      <c r="O42" s="17"/>
      <c r="P42" s="17"/>
    </row>
    <row r="43" spans="1:16">
      <c r="A43" s="21">
        <v>37</v>
      </c>
      <c r="B43" s="17" t="s">
        <v>592</v>
      </c>
      <c r="C43" s="19">
        <v>50</v>
      </c>
      <c r="D43" s="24">
        <f t="shared" si="0"/>
        <v>9.5238095238095247E-3</v>
      </c>
      <c r="E43" s="17"/>
      <c r="F43" s="19"/>
      <c r="G43" s="17"/>
      <c r="H43" s="17"/>
      <c r="I43" s="17"/>
      <c r="J43" s="17"/>
      <c r="K43" s="17"/>
      <c r="L43" s="17"/>
      <c r="M43" s="17"/>
      <c r="N43" s="17"/>
      <c r="O43" s="17"/>
      <c r="P43" s="17"/>
    </row>
    <row r="44" spans="1:16">
      <c r="A44" s="21">
        <v>38</v>
      </c>
      <c r="B44" s="17" t="s">
        <v>512</v>
      </c>
      <c r="C44" s="19">
        <v>49</v>
      </c>
      <c r="D44" s="24">
        <f t="shared" si="0"/>
        <v>9.3333333333333341E-3</v>
      </c>
      <c r="E44" s="18"/>
      <c r="F44" s="19"/>
      <c r="G44" s="17"/>
      <c r="H44" s="17"/>
      <c r="I44" s="17"/>
      <c r="J44" s="17"/>
      <c r="K44" s="17"/>
      <c r="L44" s="17"/>
      <c r="M44" s="17"/>
      <c r="N44" s="17"/>
      <c r="O44" s="17"/>
      <c r="P44" s="17"/>
    </row>
    <row r="45" spans="1:16">
      <c r="A45" s="21">
        <v>39</v>
      </c>
      <c r="B45" s="17" t="s">
        <v>525</v>
      </c>
      <c r="C45" s="19">
        <v>43</v>
      </c>
      <c r="D45" s="24">
        <f t="shared" si="0"/>
        <v>8.1904761904761907E-3</v>
      </c>
      <c r="E45" s="18"/>
      <c r="F45" s="19"/>
      <c r="G45" s="17"/>
      <c r="H45" s="17"/>
      <c r="I45" s="17"/>
      <c r="J45" s="17"/>
      <c r="K45" s="17"/>
      <c r="L45" s="17"/>
      <c r="M45" s="17"/>
      <c r="N45" s="17"/>
      <c r="O45" s="17"/>
      <c r="P45" s="17"/>
    </row>
    <row r="46" spans="1:16">
      <c r="A46" s="21">
        <v>40</v>
      </c>
      <c r="B46" s="17" t="s">
        <v>593</v>
      </c>
      <c r="C46" s="19">
        <v>42</v>
      </c>
      <c r="D46" s="24">
        <f t="shared" si="0"/>
        <v>8.0000000000000002E-3</v>
      </c>
      <c r="E46" s="17"/>
      <c r="F46" s="17"/>
      <c r="G46" s="17"/>
      <c r="H46" s="17"/>
      <c r="I46" s="17"/>
      <c r="J46" s="17"/>
      <c r="K46" s="17"/>
      <c r="L46" s="17"/>
      <c r="M46" s="17"/>
      <c r="N46" s="17"/>
      <c r="O46" s="17"/>
      <c r="P46" s="17"/>
    </row>
    <row r="47" spans="1:16">
      <c r="A47" s="21">
        <v>41</v>
      </c>
      <c r="B47" s="17" t="s">
        <v>534</v>
      </c>
      <c r="C47" s="19">
        <v>35</v>
      </c>
      <c r="D47" s="24">
        <f t="shared" si="0"/>
        <v>6.6666666666666671E-3</v>
      </c>
      <c r="E47" s="17"/>
      <c r="F47" s="17"/>
      <c r="G47" s="17"/>
      <c r="H47" s="17"/>
      <c r="I47" s="17"/>
      <c r="J47" s="17"/>
      <c r="K47" s="17"/>
      <c r="L47" s="17"/>
      <c r="M47" s="17"/>
      <c r="N47" s="17"/>
      <c r="O47" s="17"/>
      <c r="P47" s="17"/>
    </row>
    <row r="48" spans="1:16">
      <c r="A48" s="21">
        <v>42</v>
      </c>
      <c r="B48" s="17" t="s">
        <v>513</v>
      </c>
      <c r="C48" s="19">
        <v>34</v>
      </c>
      <c r="D48" s="24">
        <f t="shared" si="0"/>
        <v>6.4761904761904765E-3</v>
      </c>
      <c r="E48" s="17"/>
      <c r="F48" s="17"/>
      <c r="G48" s="17"/>
      <c r="H48" s="17"/>
      <c r="I48" s="17"/>
      <c r="J48" s="17"/>
      <c r="K48" s="17"/>
      <c r="L48" s="17"/>
      <c r="M48" s="17"/>
      <c r="N48" s="17"/>
      <c r="O48" s="17"/>
      <c r="P48" s="17"/>
    </row>
    <row r="49" spans="1:16">
      <c r="A49" s="21">
        <v>43</v>
      </c>
      <c r="B49" s="17" t="s">
        <v>545</v>
      </c>
      <c r="C49" s="19">
        <v>31</v>
      </c>
      <c r="D49" s="24">
        <f t="shared" si="0"/>
        <v>5.9047619047619048E-3</v>
      </c>
      <c r="E49" s="17"/>
      <c r="F49" s="17"/>
      <c r="G49" s="17"/>
      <c r="H49" s="17"/>
      <c r="I49" s="17"/>
      <c r="J49" s="17"/>
      <c r="K49" s="17"/>
      <c r="L49" s="17"/>
      <c r="M49" s="17"/>
      <c r="N49" s="17"/>
      <c r="O49" s="17"/>
      <c r="P49" s="17"/>
    </row>
    <row r="51" spans="1:16">
      <c r="A51" s="10" t="s">
        <v>594</v>
      </c>
      <c r="B51" s="10"/>
      <c r="C51" s="25">
        <f xml:space="preserve"> SUM(C7:C49)</f>
        <v>5250</v>
      </c>
      <c r="D51" s="10"/>
      <c r="E51" s="10"/>
      <c r="F51" s="25">
        <f>SUM(F7:F50)</f>
        <v>5470</v>
      </c>
      <c r="G51" s="10"/>
      <c r="H51" s="10"/>
      <c r="I51" s="10">
        <f>SUM(I7:I50)</f>
        <v>5319</v>
      </c>
      <c r="J51" s="10"/>
      <c r="K51" s="10"/>
      <c r="L51" s="25">
        <f>SUM(L7:L50)</f>
        <v>4536</v>
      </c>
      <c r="M51" s="10"/>
      <c r="N51" s="10"/>
      <c r="O51" s="25">
        <f>SUM(O7:O50)</f>
        <v>4932</v>
      </c>
    </row>
    <row r="54" spans="1:16">
      <c r="A54" t="s">
        <v>599</v>
      </c>
      <c r="B54" t="s">
        <v>555</v>
      </c>
      <c r="C54" s="20">
        <f>C48+C44+C40+C13</f>
        <v>366</v>
      </c>
      <c r="D54" s="29">
        <f>C54/C51</f>
        <v>6.9714285714285715E-2</v>
      </c>
      <c r="E54" t="s">
        <v>599</v>
      </c>
      <c r="F54" s="20">
        <f>F41+F39+F31+F14+F10+F8</f>
        <v>1016</v>
      </c>
      <c r="G54" s="29">
        <f>F54/F51</f>
        <v>0.18574040219378427</v>
      </c>
      <c r="H54" t="s">
        <v>555</v>
      </c>
      <c r="I54">
        <f>I38+I25+I19+I12+I7</f>
        <v>1170</v>
      </c>
      <c r="J54" s="29">
        <f>I54/I51</f>
        <v>0.21996615905245348</v>
      </c>
      <c r="K54" t="s">
        <v>555</v>
      </c>
      <c r="L54" s="20">
        <f>L28</f>
        <v>68</v>
      </c>
      <c r="M54" s="30">
        <f>M28</f>
        <v>1.4991181657848324E-2</v>
      </c>
      <c r="N54" t="s">
        <v>555</v>
      </c>
      <c r="O54" s="20">
        <f>O31</f>
        <v>67</v>
      </c>
      <c r="P54" s="30">
        <f>P31</f>
        <v>1.3584752635847526E-2</v>
      </c>
    </row>
  </sheetData>
  <mergeCells count="5">
    <mergeCell ref="B5:D5"/>
    <mergeCell ref="E5:G5"/>
    <mergeCell ref="H5:J5"/>
    <mergeCell ref="K5:M5"/>
    <mergeCell ref="N5:P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C8A7-51EF-45B2-BC1B-1012FD2F24BD}">
  <sheetPr codeName="Sheet12"/>
  <dimension ref="A5:P73"/>
  <sheetViews>
    <sheetView topLeftCell="A64" workbookViewId="0">
      <selection activeCell="E16" sqref="E16"/>
    </sheetView>
  </sheetViews>
  <sheetFormatPr defaultRowHeight="14.5"/>
  <cols>
    <col min="2" max="2" width="14.90625" bestFit="1" customWidth="1"/>
    <col min="5" max="5" width="36.453125" bestFit="1" customWidth="1"/>
    <col min="8" max="8" width="16.7265625" customWidth="1"/>
    <col min="10" max="10" width="10.36328125" bestFit="1" customWidth="1"/>
    <col min="11" max="11" width="15.1796875" bestFit="1" customWidth="1"/>
    <col min="14" max="14" width="12.90625" bestFit="1" customWidth="1"/>
  </cols>
  <sheetData>
    <row r="5" spans="1:16">
      <c r="A5" s="17"/>
      <c r="B5" s="42" t="s">
        <v>500</v>
      </c>
      <c r="C5" s="42"/>
      <c r="D5" s="42"/>
      <c r="E5" s="42" t="s">
        <v>501</v>
      </c>
      <c r="F5" s="42"/>
      <c r="G5" s="42"/>
      <c r="H5" s="42" t="s">
        <v>502</v>
      </c>
      <c r="I5" s="42"/>
      <c r="J5" s="42"/>
      <c r="K5" s="42" t="s">
        <v>503</v>
      </c>
      <c r="L5" s="42"/>
      <c r="M5" s="42"/>
      <c r="N5" s="42" t="s">
        <v>504</v>
      </c>
      <c r="O5" s="42"/>
      <c r="P5" s="42"/>
    </row>
    <row r="6" spans="1:16">
      <c r="A6" s="18"/>
      <c r="B6" s="22"/>
      <c r="C6" s="22" t="s">
        <v>505</v>
      </c>
      <c r="D6" s="22" t="s">
        <v>506</v>
      </c>
      <c r="E6" s="23"/>
      <c r="F6" s="22" t="s">
        <v>507</v>
      </c>
      <c r="G6" s="22" t="s">
        <v>506</v>
      </c>
      <c r="H6" s="23"/>
      <c r="I6" s="22" t="s">
        <v>507</v>
      </c>
      <c r="J6" s="22" t="s">
        <v>506</v>
      </c>
      <c r="K6" s="23"/>
      <c r="L6" s="22" t="s">
        <v>507</v>
      </c>
      <c r="M6" s="22" t="s">
        <v>506</v>
      </c>
      <c r="N6" s="23"/>
      <c r="O6" s="22" t="s">
        <v>505</v>
      </c>
      <c r="P6" s="22" t="s">
        <v>506</v>
      </c>
    </row>
    <row r="7" spans="1:16">
      <c r="A7" s="21">
        <v>1</v>
      </c>
      <c r="B7" s="17" t="s">
        <v>501</v>
      </c>
      <c r="C7" s="19">
        <v>435</v>
      </c>
      <c r="D7" s="24">
        <f>C7/$C$51</f>
        <v>8.2857142857142851E-2</v>
      </c>
      <c r="E7" s="17" t="s">
        <v>508</v>
      </c>
      <c r="F7" s="19">
        <f>241+75</f>
        <v>316</v>
      </c>
      <c r="G7" s="24">
        <f>F7/$F$51</f>
        <v>5.7769652650822671E-2</v>
      </c>
      <c r="H7" s="17" t="s">
        <v>508</v>
      </c>
      <c r="I7" s="17">
        <f>336+177+46+39</f>
        <v>598</v>
      </c>
      <c r="J7" s="24">
        <f>I7/$I$51</f>
        <v>0.11242714796014289</v>
      </c>
      <c r="K7" s="33" t="s">
        <v>509</v>
      </c>
      <c r="L7" s="34">
        <f>212+259</f>
        <v>471</v>
      </c>
      <c r="M7" s="24">
        <f>L7/$L$51</f>
        <v>0.10383597883597884</v>
      </c>
      <c r="N7" s="17" t="s">
        <v>510</v>
      </c>
      <c r="O7" s="19">
        <f>318+177</f>
        <v>495</v>
      </c>
      <c r="P7" s="24">
        <f>O7/$O$51</f>
        <v>0.10036496350364964</v>
      </c>
    </row>
    <row r="8" spans="1:16">
      <c r="A8" s="21">
        <v>2</v>
      </c>
      <c r="B8" s="17" t="s">
        <v>511</v>
      </c>
      <c r="C8" s="19">
        <v>277</v>
      </c>
      <c r="D8" s="24">
        <f t="shared" ref="D8:D49" si="0">C8/$C$51</f>
        <v>5.276190476190476E-2</v>
      </c>
      <c r="E8" s="18" t="s">
        <v>512</v>
      </c>
      <c r="F8" s="19">
        <v>302</v>
      </c>
      <c r="G8" s="24">
        <f t="shared" ref="G8:G42" si="1">F8/$F$51</f>
        <v>5.521023765996344E-2</v>
      </c>
      <c r="H8" s="17" t="s">
        <v>513</v>
      </c>
      <c r="I8" s="17">
        <f>318+18</f>
        <v>336</v>
      </c>
      <c r="J8" s="24">
        <f t="shared" ref="J8:J42" si="2">I8/$I$51</f>
        <v>6.3169768753525105E-2</v>
      </c>
      <c r="K8" s="17" t="s">
        <v>514</v>
      </c>
      <c r="L8" s="19">
        <f>241+167</f>
        <v>408</v>
      </c>
      <c r="M8" s="24">
        <f t="shared" ref="M8:M32" si="3">L8/$L$51</f>
        <v>8.9947089947089942E-2</v>
      </c>
      <c r="N8" s="17" t="s">
        <v>515</v>
      </c>
      <c r="O8" s="19">
        <f>297+187</f>
        <v>484</v>
      </c>
      <c r="P8" s="24">
        <f t="shared" ref="P8:P33" si="4">O8/$O$51</f>
        <v>9.813463098134631E-2</v>
      </c>
    </row>
    <row r="9" spans="1:16">
      <c r="A9" s="21">
        <v>3</v>
      </c>
      <c r="B9" s="17" t="s">
        <v>516</v>
      </c>
      <c r="C9" s="19">
        <v>266</v>
      </c>
      <c r="D9" s="24">
        <f t="shared" si="0"/>
        <v>5.0666666666666665E-2</v>
      </c>
      <c r="E9" s="18" t="s">
        <v>517</v>
      </c>
      <c r="F9" s="19">
        <v>301</v>
      </c>
      <c r="G9" s="24">
        <f t="shared" si="1"/>
        <v>5.5027422303473489E-2</v>
      </c>
      <c r="H9" s="17" t="s">
        <v>514</v>
      </c>
      <c r="I9" s="17">
        <f>187+124</f>
        <v>311</v>
      </c>
      <c r="J9" s="24">
        <f t="shared" si="2"/>
        <v>5.8469637149840194E-2</v>
      </c>
      <c r="K9" s="17" t="s">
        <v>504</v>
      </c>
      <c r="L9" s="19">
        <v>336</v>
      </c>
      <c r="M9" s="24">
        <f t="shared" si="3"/>
        <v>7.407407407407407E-2</v>
      </c>
      <c r="N9" s="17" t="s">
        <v>502</v>
      </c>
      <c r="O9" s="19">
        <f>226+241</f>
        <v>467</v>
      </c>
      <c r="P9" s="24">
        <f t="shared" si="4"/>
        <v>9.4687753446877534E-2</v>
      </c>
    </row>
    <row r="10" spans="1:16">
      <c r="A10" s="21">
        <v>4</v>
      </c>
      <c r="B10" s="17" t="s">
        <v>518</v>
      </c>
      <c r="C10" s="19">
        <v>259</v>
      </c>
      <c r="D10" s="24">
        <f t="shared" si="0"/>
        <v>4.9333333333333333E-2</v>
      </c>
      <c r="E10" s="17" t="s">
        <v>519</v>
      </c>
      <c r="F10" s="19">
        <v>277</v>
      </c>
      <c r="G10" s="24">
        <f t="shared" si="1"/>
        <v>5.0639853747714805E-2</v>
      </c>
      <c r="H10" s="17" t="s">
        <v>520</v>
      </c>
      <c r="I10" s="17">
        <v>297</v>
      </c>
      <c r="J10" s="24">
        <f t="shared" si="2"/>
        <v>5.5837563451776651E-2</v>
      </c>
      <c r="K10" s="17" t="s">
        <v>520</v>
      </c>
      <c r="L10" s="19">
        <v>318</v>
      </c>
      <c r="M10" s="24">
        <f t="shared" si="3"/>
        <v>7.0105820105820102E-2</v>
      </c>
      <c r="N10" s="17" t="s">
        <v>520</v>
      </c>
      <c r="O10" s="19">
        <v>336</v>
      </c>
      <c r="P10" s="24">
        <f t="shared" si="4"/>
        <v>6.8126520681265207E-2</v>
      </c>
    </row>
    <row r="11" spans="1:16">
      <c r="A11" s="21">
        <v>5</v>
      </c>
      <c r="B11" s="17" t="s">
        <v>521</v>
      </c>
      <c r="C11" s="19">
        <v>257</v>
      </c>
      <c r="D11" s="24">
        <f t="shared" si="0"/>
        <v>4.8952380952380956E-2</v>
      </c>
      <c r="E11" s="17" t="s">
        <v>522</v>
      </c>
      <c r="F11" s="19">
        <f>199+63</f>
        <v>262</v>
      </c>
      <c r="G11" s="24">
        <f t="shared" si="1"/>
        <v>4.789762340036563E-2</v>
      </c>
      <c r="H11" s="17" t="s">
        <v>516</v>
      </c>
      <c r="I11" s="17">
        <v>277</v>
      </c>
      <c r="J11" s="24">
        <f t="shared" si="2"/>
        <v>5.2077458168828729E-2</v>
      </c>
      <c r="K11" s="17" t="s">
        <v>518</v>
      </c>
      <c r="L11" s="19">
        <v>297</v>
      </c>
      <c r="M11" s="24">
        <f t="shared" si="3"/>
        <v>6.5476190476190479E-2</v>
      </c>
      <c r="N11" s="17" t="s">
        <v>523</v>
      </c>
      <c r="O11" s="19">
        <v>277</v>
      </c>
      <c r="P11" s="24">
        <f t="shared" si="4"/>
        <v>5.6163828061638284E-2</v>
      </c>
    </row>
    <row r="12" spans="1:16">
      <c r="A12" s="21">
        <v>6</v>
      </c>
      <c r="B12" s="17" t="s">
        <v>524</v>
      </c>
      <c r="C12" s="19">
        <v>241</v>
      </c>
      <c r="D12" s="24">
        <f t="shared" si="0"/>
        <v>4.5904761904761907E-2</v>
      </c>
      <c r="E12" s="17" t="s">
        <v>525</v>
      </c>
      <c r="F12" s="19">
        <v>259</v>
      </c>
      <c r="G12" s="24">
        <f t="shared" si="1"/>
        <v>4.7349177330895796E-2</v>
      </c>
      <c r="H12" s="17" t="s">
        <v>519</v>
      </c>
      <c r="I12" s="17">
        <v>259</v>
      </c>
      <c r="J12" s="24">
        <f t="shared" si="2"/>
        <v>4.86933634141756E-2</v>
      </c>
      <c r="K12" s="17" t="s">
        <v>526</v>
      </c>
      <c r="L12" s="19">
        <v>277</v>
      </c>
      <c r="M12" s="24">
        <f t="shared" si="3"/>
        <v>6.106701940035273E-2</v>
      </c>
      <c r="N12" s="17" t="s">
        <v>527</v>
      </c>
      <c r="O12" s="19">
        <f>109+119+37</f>
        <v>265</v>
      </c>
      <c r="P12" s="24">
        <f t="shared" si="4"/>
        <v>5.373073803730738E-2</v>
      </c>
    </row>
    <row r="13" spans="1:16">
      <c r="A13" s="21">
        <v>7</v>
      </c>
      <c r="B13" s="17" t="s">
        <v>508</v>
      </c>
      <c r="C13" s="19">
        <v>226</v>
      </c>
      <c r="D13" s="24">
        <f t="shared" si="0"/>
        <v>4.304761904761905E-2</v>
      </c>
      <c r="E13" s="18" t="s">
        <v>528</v>
      </c>
      <c r="F13" s="19">
        <v>251</v>
      </c>
      <c r="G13" s="24">
        <f t="shared" si="1"/>
        <v>4.5886654478976233E-2</v>
      </c>
      <c r="H13" s="17" t="s">
        <v>522</v>
      </c>
      <c r="I13" s="17">
        <v>241</v>
      </c>
      <c r="J13" s="24">
        <f t="shared" si="2"/>
        <v>4.5309268659522464E-2</v>
      </c>
      <c r="K13" s="17" t="s">
        <v>521</v>
      </c>
      <c r="L13" s="19">
        <f>158+49+34</f>
        <v>241</v>
      </c>
      <c r="M13" s="24">
        <f t="shared" si="3"/>
        <v>5.3130511463844794E-2</v>
      </c>
      <c r="N13" s="17" t="s">
        <v>529</v>
      </c>
      <c r="O13" s="19">
        <v>259</v>
      </c>
      <c r="P13" s="24">
        <f t="shared" si="4"/>
        <v>5.2514193025141931E-2</v>
      </c>
    </row>
    <row r="14" spans="1:16">
      <c r="A14" s="21">
        <v>8</v>
      </c>
      <c r="B14" s="17" t="s">
        <v>530</v>
      </c>
      <c r="C14" s="19">
        <v>218</v>
      </c>
      <c r="D14" s="24">
        <f t="shared" si="0"/>
        <v>4.1523809523809525E-2</v>
      </c>
      <c r="E14" s="18" t="s">
        <v>531</v>
      </c>
      <c r="F14" s="19">
        <v>230</v>
      </c>
      <c r="G14" s="24">
        <f t="shared" si="1"/>
        <v>4.2047531992687383E-2</v>
      </c>
      <c r="H14" s="17" t="s">
        <v>515</v>
      </c>
      <c r="I14" s="17">
        <f>143+85</f>
        <v>228</v>
      </c>
      <c r="J14" s="24">
        <f t="shared" si="2"/>
        <v>4.2865200225606317E-2</v>
      </c>
      <c r="K14" s="17" t="s">
        <v>532</v>
      </c>
      <c r="L14" s="19">
        <v>226</v>
      </c>
      <c r="M14" s="24">
        <f t="shared" si="3"/>
        <v>4.9823633156966488E-2</v>
      </c>
      <c r="N14" s="17" t="s">
        <v>518</v>
      </c>
      <c r="O14" s="19">
        <v>212</v>
      </c>
      <c r="P14" s="24">
        <f t="shared" si="4"/>
        <v>4.2984590429845905E-2</v>
      </c>
    </row>
    <row r="15" spans="1:16">
      <c r="A15" s="21">
        <v>9</v>
      </c>
      <c r="B15" s="17" t="s">
        <v>533</v>
      </c>
      <c r="C15" s="19">
        <v>212</v>
      </c>
      <c r="D15" s="24">
        <f t="shared" si="0"/>
        <v>4.0380952380952378E-2</v>
      </c>
      <c r="E15" s="17" t="s">
        <v>534</v>
      </c>
      <c r="F15" s="19">
        <v>226</v>
      </c>
      <c r="G15" s="24">
        <f t="shared" si="1"/>
        <v>4.1316270566727605E-2</v>
      </c>
      <c r="H15" s="17" t="s">
        <v>523</v>
      </c>
      <c r="I15" s="17">
        <v>226</v>
      </c>
      <c r="J15" s="24">
        <f t="shared" si="2"/>
        <v>4.2489189697311525E-2</v>
      </c>
      <c r="K15" s="17" t="s">
        <v>535</v>
      </c>
      <c r="L15" s="19">
        <f>105+109</f>
        <v>214</v>
      </c>
      <c r="M15" s="24">
        <f t="shared" si="3"/>
        <v>4.7178130511463842E-2</v>
      </c>
      <c r="N15" s="17" t="s">
        <v>516</v>
      </c>
      <c r="O15" s="19">
        <v>199</v>
      </c>
      <c r="P15" s="24">
        <f t="shared" si="4"/>
        <v>4.0348742903487431E-2</v>
      </c>
    </row>
    <row r="16" spans="1:16">
      <c r="A16" s="21">
        <v>10</v>
      </c>
      <c r="B16" s="17" t="s">
        <v>536</v>
      </c>
      <c r="C16" s="19">
        <v>167</v>
      </c>
      <c r="D16" s="24">
        <f t="shared" si="0"/>
        <v>3.1809523809523808E-2</v>
      </c>
      <c r="E16" s="17" t="s">
        <v>537</v>
      </c>
      <c r="F16" s="19">
        <f>105+91</f>
        <v>196</v>
      </c>
      <c r="G16" s="24">
        <f t="shared" si="1"/>
        <v>3.5831809872029254E-2</v>
      </c>
      <c r="H16" s="17" t="s">
        <v>538</v>
      </c>
      <c r="I16" s="17">
        <v>212</v>
      </c>
      <c r="J16" s="24">
        <f t="shared" si="2"/>
        <v>3.9857115999247981E-2</v>
      </c>
      <c r="K16" s="17" t="s">
        <v>539</v>
      </c>
      <c r="L16" s="19">
        <v>199</v>
      </c>
      <c r="M16" s="24">
        <f t="shared" si="3"/>
        <v>4.3871252204585535E-2</v>
      </c>
      <c r="N16" s="17" t="s">
        <v>540</v>
      </c>
      <c r="O16" s="19">
        <v>167</v>
      </c>
      <c r="P16" s="24">
        <f t="shared" si="4"/>
        <v>3.3860502838605026E-2</v>
      </c>
    </row>
    <row r="17" spans="1:16">
      <c r="A17" s="21">
        <v>11</v>
      </c>
      <c r="B17" s="17" t="s">
        <v>541</v>
      </c>
      <c r="C17" s="19">
        <v>158</v>
      </c>
      <c r="D17" s="24">
        <f t="shared" si="0"/>
        <v>3.0095238095238095E-2</v>
      </c>
      <c r="E17" s="17" t="s">
        <v>520</v>
      </c>
      <c r="F17" s="19">
        <v>187</v>
      </c>
      <c r="G17" s="24">
        <f t="shared" si="1"/>
        <v>3.4186471663619745E-2</v>
      </c>
      <c r="H17" s="17" t="s">
        <v>510</v>
      </c>
      <c r="I17" s="17">
        <v>199</v>
      </c>
      <c r="J17" s="24">
        <f t="shared" si="2"/>
        <v>3.7413047565331828E-2</v>
      </c>
      <c r="K17" s="17" t="s">
        <v>542</v>
      </c>
      <c r="L17" s="19">
        <v>187</v>
      </c>
      <c r="M17" s="24">
        <f t="shared" si="3"/>
        <v>4.122574955908289E-2</v>
      </c>
      <c r="N17" s="17" t="s">
        <v>543</v>
      </c>
      <c r="O17" s="19">
        <v>158</v>
      </c>
      <c r="P17" s="24">
        <f t="shared" si="4"/>
        <v>3.2035685320356853E-2</v>
      </c>
    </row>
    <row r="18" spans="1:16">
      <c r="A18" s="21">
        <v>12</v>
      </c>
      <c r="B18" s="17" t="s">
        <v>544</v>
      </c>
      <c r="C18" s="19">
        <v>150</v>
      </c>
      <c r="D18" s="24">
        <f t="shared" si="0"/>
        <v>2.8571428571428571E-2</v>
      </c>
      <c r="E18" s="17" t="s">
        <v>545</v>
      </c>
      <c r="F18" s="19">
        <v>177</v>
      </c>
      <c r="G18" s="24">
        <f t="shared" si="1"/>
        <v>3.2358318098720293E-2</v>
      </c>
      <c r="H18" s="17" t="s">
        <v>529</v>
      </c>
      <c r="I18" s="17">
        <v>167</v>
      </c>
      <c r="J18" s="24">
        <f t="shared" si="2"/>
        <v>3.1396879112615156E-2</v>
      </c>
      <c r="K18" s="17" t="s">
        <v>536</v>
      </c>
      <c r="L18" s="19">
        <v>177</v>
      </c>
      <c r="M18" s="24">
        <f t="shared" si="3"/>
        <v>3.9021164021164019E-2</v>
      </c>
      <c r="N18" s="17" t="s">
        <v>546</v>
      </c>
      <c r="O18" s="19">
        <v>150</v>
      </c>
      <c r="P18" s="24">
        <f t="shared" si="4"/>
        <v>3.0413625304136254E-2</v>
      </c>
    </row>
    <row r="19" spans="1:16">
      <c r="A19" s="21">
        <v>13</v>
      </c>
      <c r="B19" s="17" t="s">
        <v>514</v>
      </c>
      <c r="C19" s="19">
        <v>143</v>
      </c>
      <c r="D19" s="24">
        <f t="shared" si="0"/>
        <v>2.7238095238095238E-2</v>
      </c>
      <c r="E19" s="17" t="s">
        <v>504</v>
      </c>
      <c r="F19" s="19">
        <v>167</v>
      </c>
      <c r="G19" s="24">
        <f t="shared" si="1"/>
        <v>3.053016453382084E-2</v>
      </c>
      <c r="H19" s="17" t="s">
        <v>547</v>
      </c>
      <c r="I19" s="17">
        <v>158</v>
      </c>
      <c r="J19" s="24">
        <f t="shared" si="2"/>
        <v>2.9704831735288588E-2</v>
      </c>
      <c r="K19" s="17" t="s">
        <v>548</v>
      </c>
      <c r="L19" s="19">
        <v>150</v>
      </c>
      <c r="M19" s="24">
        <f t="shared" si="3"/>
        <v>3.3068783068783067E-2</v>
      </c>
      <c r="N19" s="17" t="s">
        <v>508</v>
      </c>
      <c r="O19" s="19">
        <v>143</v>
      </c>
      <c r="P19" s="24">
        <f t="shared" si="4"/>
        <v>2.8994322789943228E-2</v>
      </c>
    </row>
    <row r="20" spans="1:16">
      <c r="A20" s="21">
        <v>14</v>
      </c>
      <c r="B20" s="17" t="s">
        <v>549</v>
      </c>
      <c r="C20" s="19">
        <v>136</v>
      </c>
      <c r="D20" s="24">
        <f t="shared" si="0"/>
        <v>2.5904761904761906E-2</v>
      </c>
      <c r="E20" s="18" t="s">
        <v>522</v>
      </c>
      <c r="F20" s="19">
        <v>153</v>
      </c>
      <c r="G20" s="24">
        <f t="shared" si="1"/>
        <v>2.7970749542961609E-2</v>
      </c>
      <c r="H20" s="17" t="s">
        <v>550</v>
      </c>
      <c r="I20" s="17">
        <v>150</v>
      </c>
      <c r="J20" s="24">
        <f t="shared" si="2"/>
        <v>2.820078962210942E-2</v>
      </c>
      <c r="K20" s="17" t="s">
        <v>529</v>
      </c>
      <c r="L20" s="19">
        <v>130</v>
      </c>
      <c r="M20" s="24">
        <f t="shared" si="3"/>
        <v>2.8659611992945325E-2</v>
      </c>
      <c r="N20" s="17" t="s">
        <v>551</v>
      </c>
      <c r="O20" s="19">
        <v>136</v>
      </c>
      <c r="P20" s="24">
        <f t="shared" si="4"/>
        <v>2.7575020275750203E-2</v>
      </c>
    </row>
    <row r="21" spans="1:16">
      <c r="A21" s="21">
        <v>15</v>
      </c>
      <c r="B21" s="17" t="s">
        <v>551</v>
      </c>
      <c r="C21" s="19">
        <v>124</v>
      </c>
      <c r="D21" s="24">
        <f t="shared" si="0"/>
        <v>2.3619047619047619E-2</v>
      </c>
      <c r="E21" s="18" t="s">
        <v>544</v>
      </c>
      <c r="F21" s="19">
        <v>144</v>
      </c>
      <c r="G21" s="24">
        <f t="shared" si="1"/>
        <v>2.6325411334552101E-2</v>
      </c>
      <c r="H21" s="17" t="s">
        <v>552</v>
      </c>
      <c r="I21" s="17">
        <v>136</v>
      </c>
      <c r="J21" s="24">
        <f t="shared" si="2"/>
        <v>2.5568715924045873E-2</v>
      </c>
      <c r="K21" s="17" t="s">
        <v>553</v>
      </c>
      <c r="L21" s="19">
        <v>114</v>
      </c>
      <c r="M21" s="24">
        <f t="shared" si="3"/>
        <v>2.5132275132275131E-2</v>
      </c>
      <c r="N21" s="17" t="s">
        <v>554</v>
      </c>
      <c r="O21" s="19">
        <f>60+72</f>
        <v>132</v>
      </c>
      <c r="P21" s="24">
        <f t="shared" si="4"/>
        <v>2.6763990267639901E-2</v>
      </c>
    </row>
    <row r="22" spans="1:16">
      <c r="A22" s="21">
        <v>16</v>
      </c>
      <c r="B22" s="27" t="s">
        <v>555</v>
      </c>
      <c r="C22" s="28">
        <v>122</v>
      </c>
      <c r="D22" s="24">
        <f t="shared" si="0"/>
        <v>2.3238095238095238E-2</v>
      </c>
      <c r="E22" s="17" t="s">
        <v>549</v>
      </c>
      <c r="F22" s="19">
        <v>143</v>
      </c>
      <c r="G22" s="24">
        <f t="shared" si="1"/>
        <v>2.6142595978062157E-2</v>
      </c>
      <c r="H22" s="33" t="s">
        <v>509</v>
      </c>
      <c r="I22" s="33">
        <v>130</v>
      </c>
      <c r="J22" s="24">
        <f t="shared" si="2"/>
        <v>2.4440684339161498E-2</v>
      </c>
      <c r="K22" s="17" t="s">
        <v>523</v>
      </c>
      <c r="L22" s="19">
        <v>101</v>
      </c>
      <c r="M22" s="24">
        <f t="shared" si="3"/>
        <v>2.2266313932980598E-2</v>
      </c>
      <c r="N22" s="17" t="s">
        <v>556</v>
      </c>
      <c r="O22" s="19">
        <v>130</v>
      </c>
      <c r="P22" s="24">
        <f t="shared" si="4"/>
        <v>2.6358475263584754E-2</v>
      </c>
    </row>
    <row r="23" spans="1:16">
      <c r="A23" s="21">
        <v>17</v>
      </c>
      <c r="B23" s="17" t="s">
        <v>557</v>
      </c>
      <c r="C23" s="19">
        <v>109</v>
      </c>
      <c r="D23" s="24">
        <f t="shared" si="0"/>
        <v>2.0761904761904763E-2</v>
      </c>
      <c r="E23" s="17" t="s">
        <v>518</v>
      </c>
      <c r="F23" s="19">
        <v>136</v>
      </c>
      <c r="G23" s="24">
        <f t="shared" si="1"/>
        <v>2.4862888482632541E-2</v>
      </c>
      <c r="H23" s="17" t="s">
        <v>558</v>
      </c>
      <c r="I23" s="17">
        <v>119</v>
      </c>
      <c r="J23" s="24">
        <f t="shared" si="2"/>
        <v>2.2372626433540137E-2</v>
      </c>
      <c r="K23" s="17" t="s">
        <v>515</v>
      </c>
      <c r="L23" s="19">
        <v>97</v>
      </c>
      <c r="M23" s="24">
        <f t="shared" si="3"/>
        <v>2.138447971781305E-2</v>
      </c>
      <c r="N23" s="17" t="s">
        <v>559</v>
      </c>
      <c r="O23" s="19">
        <v>124</v>
      </c>
      <c r="P23" s="24">
        <f t="shared" si="4"/>
        <v>2.5141930251419302E-2</v>
      </c>
    </row>
    <row r="24" spans="1:16">
      <c r="A24" s="21">
        <v>18</v>
      </c>
      <c r="B24" s="17" t="s">
        <v>560</v>
      </c>
      <c r="C24" s="19">
        <v>105</v>
      </c>
      <c r="D24" s="24">
        <f t="shared" si="0"/>
        <v>0.02</v>
      </c>
      <c r="E24" s="17" t="s">
        <v>558</v>
      </c>
      <c r="F24" s="19">
        <v>130</v>
      </c>
      <c r="G24" s="24">
        <f t="shared" si="1"/>
        <v>2.376599634369287E-2</v>
      </c>
      <c r="H24" s="17" t="s">
        <v>516</v>
      </c>
      <c r="I24" s="17">
        <v>114</v>
      </c>
      <c r="J24" s="24">
        <f t="shared" si="2"/>
        <v>2.1432600112803159E-2</v>
      </c>
      <c r="K24" s="17" t="s">
        <v>556</v>
      </c>
      <c r="L24" s="19">
        <v>91</v>
      </c>
      <c r="M24" s="24">
        <f t="shared" si="3"/>
        <v>2.0061728395061727E-2</v>
      </c>
      <c r="N24" s="17" t="s">
        <v>522</v>
      </c>
      <c r="O24" s="19">
        <v>101</v>
      </c>
      <c r="P24" s="24">
        <f t="shared" si="4"/>
        <v>2.0478507704785077E-2</v>
      </c>
    </row>
    <row r="25" spans="1:16">
      <c r="A25" s="21">
        <v>19</v>
      </c>
      <c r="B25" s="17" t="s">
        <v>547</v>
      </c>
      <c r="C25" s="19">
        <v>101</v>
      </c>
      <c r="D25" s="24">
        <f t="shared" si="0"/>
        <v>1.9238095238095238E-2</v>
      </c>
      <c r="E25" s="18" t="s">
        <v>502</v>
      </c>
      <c r="F25" s="19">
        <v>126</v>
      </c>
      <c r="G25" s="24">
        <f t="shared" si="1"/>
        <v>2.3034734917733089E-2</v>
      </c>
      <c r="H25" s="31" t="s">
        <v>571</v>
      </c>
      <c r="I25" s="31">
        <v>105</v>
      </c>
      <c r="J25" s="24">
        <f t="shared" si="2"/>
        <v>1.9740552735476594E-2</v>
      </c>
      <c r="K25" s="17" t="s">
        <v>510</v>
      </c>
      <c r="L25" s="19">
        <v>75</v>
      </c>
      <c r="M25" s="24">
        <f t="shared" si="3"/>
        <v>1.6534391534391533E-2</v>
      </c>
      <c r="N25" s="17" t="s">
        <v>561</v>
      </c>
      <c r="O25" s="19">
        <v>94</v>
      </c>
      <c r="P25" s="24">
        <f t="shared" si="4"/>
        <v>1.9059205190592052E-2</v>
      </c>
    </row>
    <row r="26" spans="1:16">
      <c r="A26" s="21">
        <v>20</v>
      </c>
      <c r="B26" s="17" t="s">
        <v>538</v>
      </c>
      <c r="C26" s="19">
        <v>97</v>
      </c>
      <c r="D26" s="24">
        <f t="shared" si="0"/>
        <v>1.8476190476190476E-2</v>
      </c>
      <c r="E26" s="18" t="s">
        <v>562</v>
      </c>
      <c r="F26" s="19">
        <v>126</v>
      </c>
      <c r="G26" s="24">
        <f t="shared" si="1"/>
        <v>2.3034734917733089E-2</v>
      </c>
      <c r="H26" s="17" t="s">
        <v>541</v>
      </c>
      <c r="I26" s="17">
        <v>101</v>
      </c>
      <c r="J26" s="24">
        <f t="shared" si="2"/>
        <v>1.8988531678887009E-2</v>
      </c>
      <c r="K26" s="17" t="s">
        <v>563</v>
      </c>
      <c r="L26" s="19">
        <v>72</v>
      </c>
      <c r="M26" s="24">
        <f t="shared" si="3"/>
        <v>1.5873015873015872E-2</v>
      </c>
      <c r="N26" s="17" t="s">
        <v>564</v>
      </c>
      <c r="O26" s="19">
        <v>91</v>
      </c>
      <c r="P26" s="24">
        <f t="shared" si="4"/>
        <v>1.8450932684509327E-2</v>
      </c>
    </row>
    <row r="27" spans="1:16">
      <c r="A27" s="21">
        <v>21</v>
      </c>
      <c r="B27" s="17" t="s">
        <v>526</v>
      </c>
      <c r="C27" s="19">
        <v>94</v>
      </c>
      <c r="D27" s="24">
        <f t="shared" si="0"/>
        <v>1.7904761904761906E-2</v>
      </c>
      <c r="E27" s="17" t="s">
        <v>524</v>
      </c>
      <c r="F27" s="19">
        <v>124</v>
      </c>
      <c r="G27" s="24">
        <f t="shared" si="1"/>
        <v>2.2669104204753199E-2</v>
      </c>
      <c r="H27" s="17" t="s">
        <v>565</v>
      </c>
      <c r="I27" s="17">
        <v>94</v>
      </c>
      <c r="J27" s="24">
        <f t="shared" si="2"/>
        <v>1.7672494829855237E-2</v>
      </c>
      <c r="K27" s="17" t="s">
        <v>547</v>
      </c>
      <c r="L27" s="19">
        <v>70</v>
      </c>
      <c r="M27" s="24">
        <f t="shared" si="3"/>
        <v>1.5432098765432098E-2</v>
      </c>
      <c r="N27" s="17" t="s">
        <v>514</v>
      </c>
      <c r="O27" s="19">
        <v>88</v>
      </c>
      <c r="P27" s="24">
        <f t="shared" si="4"/>
        <v>1.7842660178426603E-2</v>
      </c>
    </row>
    <row r="28" spans="1:16">
      <c r="A28" s="21">
        <v>22</v>
      </c>
      <c r="B28" s="17" t="s">
        <v>520</v>
      </c>
      <c r="C28" s="19">
        <v>91</v>
      </c>
      <c r="D28" s="24">
        <f t="shared" si="0"/>
        <v>1.7333333333333333E-2</v>
      </c>
      <c r="E28" s="17" t="s">
        <v>515</v>
      </c>
      <c r="F28" s="19">
        <f>54+67</f>
        <v>121</v>
      </c>
      <c r="G28" s="24">
        <f t="shared" si="1"/>
        <v>2.2120658135283362E-2</v>
      </c>
      <c r="H28" s="17" t="s">
        <v>548</v>
      </c>
      <c r="I28" s="17">
        <v>91</v>
      </c>
      <c r="J28" s="24">
        <f t="shared" si="2"/>
        <v>1.7108479037413048E-2</v>
      </c>
      <c r="K28" s="27" t="s">
        <v>555</v>
      </c>
      <c r="L28" s="28">
        <v>68</v>
      </c>
      <c r="M28" s="24">
        <f t="shared" si="3"/>
        <v>1.4991181657848324E-2</v>
      </c>
      <c r="N28" s="17" t="s">
        <v>526</v>
      </c>
      <c r="O28" s="19">
        <v>85</v>
      </c>
      <c r="P28" s="24">
        <f t="shared" si="4"/>
        <v>1.7234387672343875E-2</v>
      </c>
    </row>
    <row r="29" spans="1:16">
      <c r="A29" s="21">
        <v>23</v>
      </c>
      <c r="B29" s="17" t="s">
        <v>504</v>
      </c>
      <c r="C29" s="19">
        <v>88</v>
      </c>
      <c r="D29" s="24">
        <f t="shared" si="0"/>
        <v>1.6761904761904763E-2</v>
      </c>
      <c r="E29" s="17" t="s">
        <v>547</v>
      </c>
      <c r="F29" s="19">
        <v>114</v>
      </c>
      <c r="G29" s="24">
        <f t="shared" si="1"/>
        <v>2.0840950639853747E-2</v>
      </c>
      <c r="H29" s="17" t="s">
        <v>566</v>
      </c>
      <c r="I29" s="17">
        <v>82</v>
      </c>
      <c r="J29" s="24">
        <f t="shared" si="2"/>
        <v>1.5416431660086483E-2</v>
      </c>
      <c r="K29" s="17" t="s">
        <v>567</v>
      </c>
      <c r="L29" s="19">
        <v>65</v>
      </c>
      <c r="M29" s="24">
        <f t="shared" si="3"/>
        <v>1.4329805996472662E-2</v>
      </c>
      <c r="N29" s="17" t="s">
        <v>568</v>
      </c>
      <c r="O29" s="19">
        <v>82</v>
      </c>
      <c r="P29" s="24">
        <f t="shared" si="4"/>
        <v>1.6626115166261151E-2</v>
      </c>
    </row>
    <row r="30" spans="1:16">
      <c r="A30" s="21">
        <v>24</v>
      </c>
      <c r="B30" s="33" t="s">
        <v>509</v>
      </c>
      <c r="C30" s="34">
        <v>88</v>
      </c>
      <c r="D30" s="24">
        <f t="shared" si="0"/>
        <v>1.6761904761904763E-2</v>
      </c>
      <c r="E30" s="17" t="s">
        <v>548</v>
      </c>
      <c r="F30" s="19">
        <v>109</v>
      </c>
      <c r="G30" s="24">
        <f t="shared" si="1"/>
        <v>1.9926873857404021E-2</v>
      </c>
      <c r="H30" s="17" t="s">
        <v>526</v>
      </c>
      <c r="I30" s="17">
        <v>79</v>
      </c>
      <c r="J30" s="24">
        <f t="shared" si="2"/>
        <v>1.4852415867644294E-2</v>
      </c>
      <c r="K30" s="17" t="s">
        <v>569</v>
      </c>
      <c r="L30" s="19">
        <v>54</v>
      </c>
      <c r="M30" s="24">
        <f t="shared" si="3"/>
        <v>1.1904761904761904E-2</v>
      </c>
      <c r="N30" s="17" t="s">
        <v>542</v>
      </c>
      <c r="O30" s="19">
        <v>79</v>
      </c>
      <c r="P30" s="24">
        <f t="shared" si="4"/>
        <v>1.6017842660178427E-2</v>
      </c>
    </row>
    <row r="31" spans="1:16">
      <c r="A31" s="21">
        <v>25</v>
      </c>
      <c r="B31" s="17" t="s">
        <v>570</v>
      </c>
      <c r="C31" s="19">
        <v>85</v>
      </c>
      <c r="D31" s="24">
        <f t="shared" si="0"/>
        <v>1.6190476190476189E-2</v>
      </c>
      <c r="E31" s="17" t="s">
        <v>513</v>
      </c>
      <c r="F31" s="19">
        <v>101</v>
      </c>
      <c r="G31" s="24">
        <f t="shared" si="1"/>
        <v>1.846435100548446E-2</v>
      </c>
      <c r="H31" s="17" t="s">
        <v>525</v>
      </c>
      <c r="I31" s="17">
        <v>77</v>
      </c>
      <c r="J31" s="24">
        <f t="shared" si="2"/>
        <v>1.4476405339349501E-2</v>
      </c>
      <c r="K31" s="31" t="s">
        <v>571</v>
      </c>
      <c r="L31" s="32">
        <v>52</v>
      </c>
      <c r="M31" s="24">
        <f t="shared" si="3"/>
        <v>1.146384479717813E-2</v>
      </c>
      <c r="N31" s="27" t="s">
        <v>555</v>
      </c>
      <c r="O31" s="28">
        <v>67</v>
      </c>
      <c r="P31" s="24">
        <f t="shared" si="4"/>
        <v>1.3584752635847526E-2</v>
      </c>
    </row>
    <row r="32" spans="1:16">
      <c r="A32" s="21">
        <v>26</v>
      </c>
      <c r="B32" s="17" t="s">
        <v>572</v>
      </c>
      <c r="C32" s="19">
        <v>82</v>
      </c>
      <c r="D32" s="24">
        <f t="shared" si="0"/>
        <v>1.5619047619047619E-2</v>
      </c>
      <c r="E32" s="17" t="s">
        <v>551</v>
      </c>
      <c r="F32" s="19">
        <v>97</v>
      </c>
      <c r="G32" s="24">
        <f t="shared" si="1"/>
        <v>1.7733089579524679E-2</v>
      </c>
      <c r="H32" s="17" t="s">
        <v>573</v>
      </c>
      <c r="I32" s="17">
        <v>70</v>
      </c>
      <c r="J32" s="24">
        <f t="shared" si="2"/>
        <v>1.316036849031773E-2</v>
      </c>
      <c r="K32" s="17" t="s">
        <v>508</v>
      </c>
      <c r="L32" s="19">
        <v>46</v>
      </c>
      <c r="M32" s="24">
        <f t="shared" si="3"/>
        <v>1.0141093474426807E-2</v>
      </c>
      <c r="N32" s="17" t="s">
        <v>574</v>
      </c>
      <c r="O32" s="19">
        <v>65</v>
      </c>
      <c r="P32" s="24">
        <f t="shared" si="4"/>
        <v>1.3179237631792377E-2</v>
      </c>
    </row>
    <row r="33" spans="1:16">
      <c r="A33" s="21">
        <v>27</v>
      </c>
      <c r="B33" s="17" t="s">
        <v>575</v>
      </c>
      <c r="C33" s="19">
        <v>77</v>
      </c>
      <c r="D33" s="24">
        <f t="shared" si="0"/>
        <v>1.4666666666666666E-2</v>
      </c>
      <c r="E33" s="17" t="s">
        <v>514</v>
      </c>
      <c r="F33" s="19">
        <v>94</v>
      </c>
      <c r="G33" s="24">
        <f t="shared" si="1"/>
        <v>1.7184643510054845E-2</v>
      </c>
      <c r="H33" s="17" t="s">
        <v>576</v>
      </c>
      <c r="I33" s="17">
        <v>67</v>
      </c>
      <c r="J33" s="24">
        <f t="shared" si="2"/>
        <v>1.259635269787554E-2</v>
      </c>
      <c r="K33" s="17"/>
      <c r="L33" s="17"/>
      <c r="M33" s="17"/>
      <c r="N33" s="31" t="s">
        <v>571</v>
      </c>
      <c r="O33" s="32">
        <v>46</v>
      </c>
      <c r="P33" s="24">
        <f t="shared" si="4"/>
        <v>9.3268450932684505E-3</v>
      </c>
    </row>
    <row r="34" spans="1:16">
      <c r="A34" s="21">
        <v>28</v>
      </c>
      <c r="B34" s="17" t="s">
        <v>577</v>
      </c>
      <c r="C34" s="19">
        <v>72</v>
      </c>
      <c r="D34" s="24">
        <f t="shared" si="0"/>
        <v>1.3714285714285714E-2</v>
      </c>
      <c r="E34" s="17" t="s">
        <v>552</v>
      </c>
      <c r="F34" s="19">
        <v>88</v>
      </c>
      <c r="G34" s="24">
        <f t="shared" si="1"/>
        <v>1.6087751371115174E-2</v>
      </c>
      <c r="H34" s="17" t="s">
        <v>573</v>
      </c>
      <c r="I34" s="17">
        <v>61</v>
      </c>
      <c r="J34" s="24">
        <f t="shared" si="2"/>
        <v>1.1468321112991163E-2</v>
      </c>
      <c r="K34" s="17"/>
      <c r="L34" s="17"/>
      <c r="M34" s="17"/>
      <c r="N34" s="17"/>
      <c r="O34" s="17"/>
      <c r="P34" s="17"/>
    </row>
    <row r="35" spans="1:16">
      <c r="A35" s="21">
        <v>29</v>
      </c>
      <c r="B35" s="17" t="s">
        <v>578</v>
      </c>
      <c r="C35" s="19">
        <v>68</v>
      </c>
      <c r="D35" s="24">
        <f t="shared" si="0"/>
        <v>1.2952380952380953E-2</v>
      </c>
      <c r="E35" s="17" t="s">
        <v>536</v>
      </c>
      <c r="F35" s="19">
        <v>85</v>
      </c>
      <c r="G35" s="24">
        <f t="shared" si="1"/>
        <v>1.5539305301645339E-2</v>
      </c>
      <c r="H35" s="17" t="s">
        <v>545</v>
      </c>
      <c r="I35" s="17">
        <v>58</v>
      </c>
      <c r="J35" s="24">
        <f t="shared" si="2"/>
        <v>1.0904305320548976E-2</v>
      </c>
      <c r="K35" s="17"/>
      <c r="L35" s="17"/>
      <c r="M35" s="17"/>
      <c r="N35" s="17"/>
      <c r="O35" s="17"/>
      <c r="P35" s="17"/>
    </row>
    <row r="36" spans="1:16">
      <c r="A36" s="21">
        <v>30</v>
      </c>
      <c r="B36" s="17" t="s">
        <v>579</v>
      </c>
      <c r="C36" s="19">
        <v>67</v>
      </c>
      <c r="D36" s="24">
        <f t="shared" si="0"/>
        <v>1.2761904761904763E-2</v>
      </c>
      <c r="E36" s="17" t="s">
        <v>510</v>
      </c>
      <c r="F36" s="19">
        <v>79</v>
      </c>
      <c r="G36" s="24">
        <f t="shared" si="1"/>
        <v>1.4442413162705668E-2</v>
      </c>
      <c r="H36" s="17" t="s">
        <v>580</v>
      </c>
      <c r="I36" s="17">
        <v>57</v>
      </c>
      <c r="J36" s="24">
        <f t="shared" si="2"/>
        <v>1.0716300056401579E-2</v>
      </c>
      <c r="K36" s="17"/>
      <c r="L36" s="17"/>
      <c r="M36" s="17"/>
      <c r="N36" s="17"/>
      <c r="O36" s="17"/>
      <c r="P36" s="17"/>
    </row>
    <row r="37" spans="1:16">
      <c r="A37" s="21">
        <v>31</v>
      </c>
      <c r="B37" s="17" t="s">
        <v>550</v>
      </c>
      <c r="C37" s="19">
        <v>65</v>
      </c>
      <c r="D37" s="24">
        <f t="shared" si="0"/>
        <v>1.2380952380952381E-2</v>
      </c>
      <c r="E37" s="17" t="s">
        <v>581</v>
      </c>
      <c r="F37" s="19">
        <v>77</v>
      </c>
      <c r="G37" s="24">
        <f t="shared" si="1"/>
        <v>1.4076782449725777E-2</v>
      </c>
      <c r="H37" s="17" t="s">
        <v>582</v>
      </c>
      <c r="I37" s="17">
        <v>54</v>
      </c>
      <c r="J37" s="24">
        <f t="shared" si="2"/>
        <v>1.015228426395939E-2</v>
      </c>
      <c r="K37" s="17"/>
      <c r="L37" s="17"/>
      <c r="M37" s="17"/>
      <c r="N37" s="17"/>
      <c r="O37" s="17"/>
      <c r="P37" s="17"/>
    </row>
    <row r="38" spans="1:16">
      <c r="A38" s="21">
        <v>32</v>
      </c>
      <c r="B38" s="17" t="s">
        <v>583</v>
      </c>
      <c r="C38" s="19">
        <v>61</v>
      </c>
      <c r="D38" s="24">
        <f t="shared" si="0"/>
        <v>1.1619047619047619E-2</v>
      </c>
      <c r="E38" s="33" t="s">
        <v>509</v>
      </c>
      <c r="F38" s="34">
        <v>72</v>
      </c>
      <c r="G38" s="24">
        <f t="shared" si="1"/>
        <v>1.3162705667276051E-2</v>
      </c>
      <c r="H38" s="17" t="s">
        <v>512</v>
      </c>
      <c r="I38" s="17">
        <v>50</v>
      </c>
      <c r="J38" s="24">
        <f t="shared" si="2"/>
        <v>9.4002632073698061E-3</v>
      </c>
      <c r="K38" s="17"/>
      <c r="L38" s="17"/>
      <c r="M38" s="17"/>
      <c r="N38" s="17"/>
      <c r="O38" s="17"/>
      <c r="P38" s="17"/>
    </row>
    <row r="39" spans="1:16">
      <c r="A39" s="21">
        <v>33</v>
      </c>
      <c r="B39" s="17" t="s">
        <v>584</v>
      </c>
      <c r="C39" s="19">
        <v>60</v>
      </c>
      <c r="D39" s="24">
        <f t="shared" si="0"/>
        <v>1.1428571428571429E-2</v>
      </c>
      <c r="E39" s="17" t="s">
        <v>555</v>
      </c>
      <c r="F39" s="19">
        <v>58</v>
      </c>
      <c r="G39" s="24">
        <f t="shared" si="1"/>
        <v>1.060329067641682E-2</v>
      </c>
      <c r="H39" s="17" t="s">
        <v>585</v>
      </c>
      <c r="I39" s="17">
        <v>35</v>
      </c>
      <c r="J39" s="24">
        <f t="shared" si="2"/>
        <v>6.5801842451588648E-3</v>
      </c>
      <c r="K39" s="17"/>
      <c r="L39" s="17"/>
      <c r="M39" s="17"/>
      <c r="N39" s="17"/>
      <c r="O39" s="17"/>
      <c r="P39" s="17"/>
    </row>
    <row r="40" spans="1:16">
      <c r="A40" s="21">
        <v>34</v>
      </c>
      <c r="B40" s="17" t="s">
        <v>519</v>
      </c>
      <c r="C40" s="19">
        <v>57</v>
      </c>
      <c r="D40" s="24">
        <f t="shared" si="0"/>
        <v>1.0857142857142857E-2</v>
      </c>
      <c r="E40" s="17" t="s">
        <v>523</v>
      </c>
      <c r="F40" s="19">
        <v>50</v>
      </c>
      <c r="G40" s="24">
        <f t="shared" si="1"/>
        <v>9.140767824497258E-3</v>
      </c>
      <c r="H40" s="17" t="s">
        <v>586</v>
      </c>
      <c r="I40" s="17">
        <v>32</v>
      </c>
      <c r="J40" s="24">
        <f t="shared" si="2"/>
        <v>6.0161684527166763E-3</v>
      </c>
      <c r="K40" s="17"/>
      <c r="L40" s="17"/>
      <c r="M40" s="17"/>
      <c r="N40" s="17"/>
      <c r="O40" s="17"/>
      <c r="P40" s="17"/>
    </row>
    <row r="41" spans="1:16">
      <c r="A41" s="21">
        <v>35</v>
      </c>
      <c r="B41" s="17" t="s">
        <v>587</v>
      </c>
      <c r="C41" s="19">
        <v>56</v>
      </c>
      <c r="D41" s="24">
        <f t="shared" si="0"/>
        <v>1.0666666666666666E-2</v>
      </c>
      <c r="E41" s="31" t="s">
        <v>571</v>
      </c>
      <c r="F41" s="32">
        <v>48</v>
      </c>
      <c r="G41" s="24">
        <f t="shared" si="1"/>
        <v>8.7751371115173671E-3</v>
      </c>
      <c r="H41" s="17" t="s">
        <v>588</v>
      </c>
      <c r="I41" s="17">
        <v>26</v>
      </c>
      <c r="J41" s="24">
        <f t="shared" si="2"/>
        <v>4.8881368678322995E-3</v>
      </c>
      <c r="K41" s="17"/>
      <c r="L41" s="17"/>
      <c r="M41" s="17"/>
      <c r="N41" s="17"/>
      <c r="O41" s="17"/>
      <c r="P41" s="17"/>
    </row>
    <row r="42" spans="1:16">
      <c r="A42" s="21">
        <v>36</v>
      </c>
      <c r="B42" s="17" t="s">
        <v>589</v>
      </c>
      <c r="C42" s="19">
        <v>52</v>
      </c>
      <c r="D42" s="24">
        <f t="shared" si="0"/>
        <v>9.9047619047619041E-3</v>
      </c>
      <c r="E42" s="17" t="s">
        <v>590</v>
      </c>
      <c r="F42" s="19">
        <v>44</v>
      </c>
      <c r="G42" s="24">
        <f t="shared" si="1"/>
        <v>8.0438756855575871E-3</v>
      </c>
      <c r="H42" s="17" t="s">
        <v>591</v>
      </c>
      <c r="I42" s="17">
        <v>22</v>
      </c>
      <c r="J42" s="24">
        <f t="shared" si="2"/>
        <v>4.1361158112427146E-3</v>
      </c>
      <c r="K42" s="17"/>
      <c r="L42" s="17"/>
      <c r="M42" s="17"/>
      <c r="N42" s="17"/>
      <c r="O42" s="17"/>
      <c r="P42" s="17"/>
    </row>
    <row r="43" spans="1:16">
      <c r="A43" s="21">
        <v>37</v>
      </c>
      <c r="B43" s="17" t="s">
        <v>592</v>
      </c>
      <c r="C43" s="19">
        <v>50</v>
      </c>
      <c r="D43" s="24">
        <f t="shared" si="0"/>
        <v>9.5238095238095247E-3</v>
      </c>
      <c r="E43" s="17"/>
      <c r="F43" s="19"/>
      <c r="G43" s="17"/>
      <c r="H43" s="17"/>
      <c r="I43" s="17"/>
      <c r="J43" s="17"/>
      <c r="K43" s="17"/>
      <c r="L43" s="17"/>
      <c r="M43" s="17"/>
      <c r="N43" s="17"/>
      <c r="O43" s="17"/>
      <c r="P43" s="17"/>
    </row>
    <row r="44" spans="1:16">
      <c r="A44" s="21">
        <v>38</v>
      </c>
      <c r="B44" s="17" t="s">
        <v>512</v>
      </c>
      <c r="C44" s="19">
        <v>49</v>
      </c>
      <c r="D44" s="24">
        <f t="shared" si="0"/>
        <v>9.3333333333333341E-3</v>
      </c>
      <c r="E44" s="18"/>
      <c r="F44" s="19"/>
      <c r="G44" s="17"/>
      <c r="H44" s="17"/>
      <c r="I44" s="17"/>
      <c r="J44" s="17"/>
      <c r="K44" s="17"/>
      <c r="L44" s="17"/>
      <c r="M44" s="17"/>
      <c r="N44" s="17"/>
      <c r="O44" s="17"/>
      <c r="P44" s="17"/>
    </row>
    <row r="45" spans="1:16">
      <c r="A45" s="21">
        <v>39</v>
      </c>
      <c r="B45" s="17" t="s">
        <v>525</v>
      </c>
      <c r="C45" s="19">
        <v>43</v>
      </c>
      <c r="D45" s="24">
        <f t="shared" si="0"/>
        <v>8.1904761904761907E-3</v>
      </c>
      <c r="E45" s="18"/>
      <c r="F45" s="19"/>
      <c r="G45" s="17"/>
      <c r="H45" s="17"/>
      <c r="I45" s="17"/>
      <c r="J45" s="17"/>
      <c r="K45" s="17"/>
      <c r="L45" s="17"/>
      <c r="M45" s="17"/>
      <c r="N45" s="17"/>
      <c r="O45" s="17"/>
      <c r="P45" s="17"/>
    </row>
    <row r="46" spans="1:16">
      <c r="A46" s="21">
        <v>40</v>
      </c>
      <c r="B46" s="17" t="s">
        <v>593</v>
      </c>
      <c r="C46" s="19">
        <v>42</v>
      </c>
      <c r="D46" s="24">
        <f t="shared" si="0"/>
        <v>8.0000000000000002E-3</v>
      </c>
      <c r="E46" s="17"/>
      <c r="F46" s="17"/>
      <c r="G46" s="17"/>
      <c r="H46" s="17"/>
      <c r="I46" s="17"/>
      <c r="J46" s="17"/>
      <c r="K46" s="17"/>
      <c r="L46" s="17"/>
      <c r="M46" s="17"/>
      <c r="N46" s="17"/>
      <c r="O46" s="17"/>
      <c r="P46" s="17"/>
    </row>
    <row r="47" spans="1:16">
      <c r="A47" s="21">
        <v>41</v>
      </c>
      <c r="B47" s="17" t="s">
        <v>534</v>
      </c>
      <c r="C47" s="19">
        <v>35</v>
      </c>
      <c r="D47" s="24">
        <f t="shared" si="0"/>
        <v>6.6666666666666671E-3</v>
      </c>
      <c r="E47" s="17"/>
      <c r="F47" s="17"/>
      <c r="G47" s="17"/>
      <c r="H47" s="17"/>
      <c r="I47" s="17"/>
      <c r="J47" s="17"/>
      <c r="K47" s="17"/>
      <c r="L47" s="17"/>
      <c r="M47" s="17"/>
      <c r="N47" s="17"/>
      <c r="O47" s="17"/>
      <c r="P47" s="17"/>
    </row>
    <row r="48" spans="1:16">
      <c r="A48" s="21">
        <v>42</v>
      </c>
      <c r="B48" s="17" t="s">
        <v>513</v>
      </c>
      <c r="C48" s="19">
        <v>34</v>
      </c>
      <c r="D48" s="24">
        <f t="shared" si="0"/>
        <v>6.4761904761904765E-3</v>
      </c>
      <c r="E48" s="17"/>
      <c r="F48" s="17"/>
      <c r="G48" s="17"/>
      <c r="H48" s="17"/>
      <c r="I48" s="17"/>
      <c r="J48" s="17"/>
      <c r="K48" s="17"/>
      <c r="L48" s="17"/>
      <c r="M48" s="17"/>
      <c r="N48" s="17"/>
      <c r="O48" s="17"/>
      <c r="P48" s="17"/>
    </row>
    <row r="49" spans="1:16">
      <c r="A49" s="21">
        <v>43</v>
      </c>
      <c r="B49" s="17" t="s">
        <v>545</v>
      </c>
      <c r="C49" s="19">
        <v>31</v>
      </c>
      <c r="D49" s="24">
        <f t="shared" si="0"/>
        <v>5.9047619047619048E-3</v>
      </c>
      <c r="E49" s="17"/>
      <c r="F49" s="17"/>
      <c r="G49" s="17"/>
      <c r="H49" s="17"/>
      <c r="I49" s="17"/>
      <c r="J49" s="17"/>
      <c r="K49" s="17"/>
      <c r="L49" s="17"/>
      <c r="M49" s="17"/>
      <c r="N49" s="17"/>
      <c r="O49" s="17"/>
      <c r="P49" s="17"/>
    </row>
    <row r="51" spans="1:16">
      <c r="A51" s="10" t="s">
        <v>594</v>
      </c>
      <c r="B51" s="10"/>
      <c r="C51" s="25">
        <f xml:space="preserve"> SUM(C7:C49)</f>
        <v>5250</v>
      </c>
      <c r="D51" s="10"/>
      <c r="E51" s="10"/>
      <c r="F51" s="25">
        <f>SUM(F7:F50)</f>
        <v>5470</v>
      </c>
      <c r="G51" s="10"/>
      <c r="H51" s="10"/>
      <c r="I51" s="10">
        <f>SUM(I7:I50)</f>
        <v>5319</v>
      </c>
      <c r="J51" s="10"/>
      <c r="K51" s="10"/>
      <c r="L51" s="25">
        <f>SUM(L7:L50)</f>
        <v>4536</v>
      </c>
      <c r="M51" s="10"/>
      <c r="N51" s="10"/>
      <c r="O51" s="25">
        <f>SUM(O7:O50)</f>
        <v>4932</v>
      </c>
    </row>
    <row r="54" spans="1:16">
      <c r="A54" t="s">
        <v>599</v>
      </c>
      <c r="B54" t="s">
        <v>555</v>
      </c>
      <c r="C54" s="20">
        <f>C48+C44+C40+C13</f>
        <v>366</v>
      </c>
      <c r="D54" s="29">
        <f>C54/C51</f>
        <v>6.9714285714285715E-2</v>
      </c>
      <c r="E54" t="s">
        <v>599</v>
      </c>
      <c r="F54" s="20">
        <f>F41+F39+F31+F14+F10+F8</f>
        <v>1016</v>
      </c>
      <c r="G54" s="29">
        <f>F54/F51</f>
        <v>0.18574040219378427</v>
      </c>
      <c r="H54" t="s">
        <v>555</v>
      </c>
      <c r="I54">
        <f>I38+I25+I19+I12+I7</f>
        <v>1170</v>
      </c>
      <c r="J54" s="29">
        <f>I54/I51</f>
        <v>0.21996615905245348</v>
      </c>
      <c r="K54" t="s">
        <v>555</v>
      </c>
      <c r="L54" s="20">
        <f>L28</f>
        <v>68</v>
      </c>
      <c r="M54" s="30">
        <f>M28</f>
        <v>1.4991181657848324E-2</v>
      </c>
      <c r="N54" t="s">
        <v>555</v>
      </c>
      <c r="O54" s="20">
        <f>O31</f>
        <v>67</v>
      </c>
      <c r="P54" s="30">
        <f>P31</f>
        <v>1.3584752635847526E-2</v>
      </c>
    </row>
    <row r="57" spans="1:16">
      <c r="C57" t="s">
        <v>602</v>
      </c>
      <c r="D57" t="s">
        <v>506</v>
      </c>
    </row>
    <row r="58" spans="1:16">
      <c r="B58" t="s">
        <v>600</v>
      </c>
      <c r="C58" t="s">
        <v>599</v>
      </c>
      <c r="D58" s="30">
        <f>VLOOKUP($C$58,B7:D49,3)</f>
        <v>1.8476190476190476E-2</v>
      </c>
    </row>
    <row r="59" spans="1:16">
      <c r="B59" t="s">
        <v>501</v>
      </c>
      <c r="D59" s="30">
        <f>VLOOKUP($C$58,E7:G50,3)</f>
        <v>5.5027422303473489E-2</v>
      </c>
    </row>
    <row r="60" spans="1:16">
      <c r="B60" t="s">
        <v>502</v>
      </c>
      <c r="D60" s="30">
        <f>VLOOKUP($C$58,H7:J51,3)</f>
        <v>0.11242714796014289</v>
      </c>
    </row>
    <row r="61" spans="1:16">
      <c r="B61" t="s">
        <v>601</v>
      </c>
      <c r="D61" s="30">
        <f>VLOOKUP($C$58,K7:M52,3)</f>
        <v>1.0141093474426807E-2</v>
      </c>
    </row>
    <row r="63" spans="1:16">
      <c r="C63" t="s">
        <v>603</v>
      </c>
      <c r="D63" t="s">
        <v>506</v>
      </c>
    </row>
    <row r="64" spans="1:16">
      <c r="B64" t="s">
        <v>600</v>
      </c>
      <c r="C64" t="s">
        <v>509</v>
      </c>
      <c r="D64" s="30">
        <f>D30</f>
        <v>1.6761904761904763E-2</v>
      </c>
    </row>
    <row r="65" spans="2:4">
      <c r="B65" t="s">
        <v>501</v>
      </c>
      <c r="D65" s="30">
        <f>G38</f>
        <v>1.3162705667276051E-2</v>
      </c>
    </row>
    <row r="66" spans="2:4">
      <c r="B66" t="s">
        <v>502</v>
      </c>
      <c r="D66" s="30">
        <f>J22</f>
        <v>2.4440684339161498E-2</v>
      </c>
    </row>
    <row r="67" spans="2:4">
      <c r="B67" t="s">
        <v>601</v>
      </c>
      <c r="D67" s="30">
        <f>M7</f>
        <v>0.10383597883597884</v>
      </c>
    </row>
    <row r="69" spans="2:4">
      <c r="C69" t="s">
        <v>602</v>
      </c>
      <c r="D69" t="s">
        <v>506</v>
      </c>
    </row>
    <row r="70" spans="2:4">
      <c r="B70" t="s">
        <v>600</v>
      </c>
      <c r="C70" t="s">
        <v>508</v>
      </c>
      <c r="D70" s="30">
        <f>D13</f>
        <v>4.304761904761905E-2</v>
      </c>
    </row>
    <row r="71" spans="2:4">
      <c r="B71" t="s">
        <v>501</v>
      </c>
      <c r="D71" s="30">
        <f>G7</f>
        <v>5.7769652650822671E-2</v>
      </c>
    </row>
    <row r="72" spans="2:4">
      <c r="B72" t="s">
        <v>502</v>
      </c>
      <c r="D72" s="30">
        <f>J7</f>
        <v>0.11242714796014289</v>
      </c>
    </row>
    <row r="73" spans="2:4">
      <c r="B73" t="s">
        <v>601</v>
      </c>
      <c r="D73" s="30">
        <f>M32</f>
        <v>1.0141093474426807E-2</v>
      </c>
    </row>
  </sheetData>
  <mergeCells count="5">
    <mergeCell ref="B5:D5"/>
    <mergeCell ref="E5:G5"/>
    <mergeCell ref="H5:J5"/>
    <mergeCell ref="K5:M5"/>
    <mergeCell ref="N5:P5"/>
  </mergeCells>
  <pageMargins left="0.7" right="0.7" top="0.75" bottom="0.75" header="0.3" footer="0.3"/>
  <pageSetup paperSize="9" orientation="portrait" horizontalDpi="4294967292" r:id="rId1"/>
  <drawing r:id="rId2"/>
  <legacyDrawing r:id="rId3"/>
  <mc:AlternateContent xmlns:mc="http://schemas.openxmlformats.org/markup-compatibility/2006">
    <mc:Choice Requires="x14">
      <controls>
        <mc:AlternateContent xmlns:mc="http://schemas.openxmlformats.org/markup-compatibility/2006">
          <mc:Choice Requires="x14">
            <control shapeId="16388" r:id="rId4" name="Button 4">
              <controlPr defaultSize="0" print="0" autoFill="0" autoPict="0" macro="[0]!서비스">
                <anchor moveWithCells="1" sizeWithCells="1">
                  <from>
                    <xdr:col>1</xdr:col>
                    <xdr:colOff>292100</xdr:colOff>
                    <xdr:row>0</xdr:row>
                    <xdr:rowOff>139700</xdr:rowOff>
                  </from>
                  <to>
                    <xdr:col>4</xdr:col>
                    <xdr:colOff>266700</xdr:colOff>
                    <xdr:row>3</xdr:row>
                    <xdr:rowOff>25400</xdr:rowOff>
                  </to>
                </anchor>
              </controlPr>
            </control>
          </mc:Choice>
        </mc:AlternateContent>
        <mc:AlternateContent xmlns:mc="http://schemas.openxmlformats.org/markup-compatibility/2006">
          <mc:Choice Requires="x14">
            <control shapeId="16389" r:id="rId5" name="Button 5">
              <controlPr defaultSize="0" print="0" autoFill="0" autoPict="0" macro="[0]!노선_">
                <anchor moveWithCells="1" sizeWithCells="1">
                  <from>
                    <xdr:col>4</xdr:col>
                    <xdr:colOff>654050</xdr:colOff>
                    <xdr:row>0</xdr:row>
                    <xdr:rowOff>146050</xdr:rowOff>
                  </from>
                  <to>
                    <xdr:col>6</xdr:col>
                    <xdr:colOff>12700</xdr:colOff>
                    <xdr:row>3</xdr:row>
                    <xdr:rowOff>19050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E4FAA-0B36-4802-AB55-361D77D56FAE}">
  <dimension ref="A1:Q37"/>
  <sheetViews>
    <sheetView tabSelected="1" topLeftCell="A8" workbookViewId="0">
      <selection activeCell="A18" sqref="A18"/>
    </sheetView>
  </sheetViews>
  <sheetFormatPr defaultRowHeight="14.5"/>
  <cols>
    <col min="10" max="10" width="12.90625" bestFit="1" customWidth="1"/>
  </cols>
  <sheetData>
    <row r="1" spans="1:16" ht="18.5">
      <c r="A1" s="35" t="s">
        <v>604</v>
      </c>
    </row>
    <row r="3" spans="1:16">
      <c r="J3" s="36"/>
      <c r="K3" s="36" t="s">
        <v>602</v>
      </c>
      <c r="L3" s="36" t="s">
        <v>506</v>
      </c>
      <c r="M3" s="36" t="s">
        <v>603</v>
      </c>
      <c r="N3" s="36" t="s">
        <v>506</v>
      </c>
      <c r="O3" s="36" t="s">
        <v>602</v>
      </c>
      <c r="P3" s="36" t="s">
        <v>506</v>
      </c>
    </row>
    <row r="4" spans="1:16">
      <c r="J4" s="37" t="s">
        <v>600</v>
      </c>
      <c r="K4" t="s">
        <v>599</v>
      </c>
      <c r="L4" s="29">
        <v>1.8476190476190476E-2</v>
      </c>
      <c r="M4" t="s">
        <v>509</v>
      </c>
      <c r="N4" s="29">
        <v>1.6761904761904763E-2</v>
      </c>
      <c r="O4" t="s">
        <v>508</v>
      </c>
      <c r="P4" s="29">
        <v>4.304761904761905E-2</v>
      </c>
    </row>
    <row r="5" spans="1:16">
      <c r="J5" s="37" t="s">
        <v>501</v>
      </c>
      <c r="L5" s="29">
        <v>5.5027422303473489E-2</v>
      </c>
      <c r="N5" s="29">
        <v>1.3162705667276051E-2</v>
      </c>
      <c r="P5" s="29">
        <v>5.7769652650822671E-2</v>
      </c>
    </row>
    <row r="6" spans="1:16">
      <c r="J6" s="37" t="s">
        <v>502</v>
      </c>
      <c r="L6" s="29">
        <v>0.11242714796014289</v>
      </c>
      <c r="N6" s="29">
        <v>2.4440684339161498E-2</v>
      </c>
      <c r="P6" s="29">
        <v>0.11242714796014289</v>
      </c>
    </row>
    <row r="7" spans="1:16">
      <c r="J7" s="37" t="s">
        <v>601</v>
      </c>
      <c r="L7" s="29">
        <v>1.0141093474426807E-2</v>
      </c>
      <c r="N7" s="29">
        <v>0.10383597883597884</v>
      </c>
      <c r="P7" s="29">
        <v>1.0141093474426807E-2</v>
      </c>
    </row>
    <row r="10" spans="1:16">
      <c r="J10" s="37" t="s">
        <v>605</v>
      </c>
    </row>
    <row r="11" spans="1:16">
      <c r="J11" s="2" t="s">
        <v>606</v>
      </c>
    </row>
    <row r="12" spans="1:16">
      <c r="J12" t="s">
        <v>607</v>
      </c>
    </row>
    <row r="13" spans="1:16">
      <c r="J13" t="s">
        <v>608</v>
      </c>
    </row>
    <row r="14" spans="1:16">
      <c r="J14" t="s">
        <v>626</v>
      </c>
    </row>
    <row r="16" spans="1:16">
      <c r="J16" t="s">
        <v>609</v>
      </c>
    </row>
    <row r="22" spans="10:13">
      <c r="J22" s="37" t="s">
        <v>610</v>
      </c>
      <c r="K22" s="37"/>
      <c r="L22" s="37"/>
      <c r="M22" s="37"/>
    </row>
    <row r="23" spans="10:13">
      <c r="J23" t="s">
        <v>611</v>
      </c>
      <c r="K23" t="s">
        <v>612</v>
      </c>
    </row>
    <row r="24" spans="10:13">
      <c r="J24" t="s">
        <v>613</v>
      </c>
    </row>
    <row r="25" spans="10:13">
      <c r="J25" t="s">
        <v>614</v>
      </c>
    </row>
    <row r="26" spans="10:13">
      <c r="J26" t="s">
        <v>615</v>
      </c>
    </row>
    <row r="27" spans="10:13">
      <c r="J27" t="s">
        <v>612</v>
      </c>
    </row>
    <row r="28" spans="10:13">
      <c r="J28" t="s">
        <v>616</v>
      </c>
    </row>
    <row r="29" spans="10:13">
      <c r="J29" t="s">
        <v>617</v>
      </c>
    </row>
    <row r="30" spans="10:13">
      <c r="J30" t="s">
        <v>619</v>
      </c>
    </row>
    <row r="31" spans="10:13">
      <c r="J31" t="s">
        <v>618</v>
      </c>
    </row>
    <row r="32" spans="10:13">
      <c r="J32" t="s">
        <v>620</v>
      </c>
    </row>
    <row r="33" spans="10:17">
      <c r="J33" t="s">
        <v>621</v>
      </c>
    </row>
    <row r="34" spans="10:17">
      <c r="J34" t="s">
        <v>622</v>
      </c>
    </row>
    <row r="35" spans="10:17">
      <c r="J35" t="s">
        <v>623</v>
      </c>
    </row>
    <row r="36" spans="10:17">
      <c r="J36" t="s">
        <v>625</v>
      </c>
    </row>
    <row r="37" spans="10:17" ht="17">
      <c r="J37" s="38" t="s">
        <v>624</v>
      </c>
      <c r="K37" s="39"/>
      <c r="L37" s="39"/>
      <c r="M37" s="39"/>
      <c r="N37" s="39"/>
      <c r="O37" s="39"/>
      <c r="P37" s="39"/>
      <c r="Q37" s="39"/>
    </row>
  </sheetData>
  <pageMargins left="0.7" right="0.7" top="0.75" bottom="0.75" header="0.3" footer="0.3"/>
  <pageSetup paperSize="9" orientation="portrait" horizont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프로젝트 정의 및 설명</vt:lpstr>
      <vt:lpstr>MAIN crawling code</vt:lpstr>
      <vt:lpstr>Naver_crawling code</vt:lpstr>
      <vt:lpstr>Youtube_crawling code</vt:lpstr>
      <vt:lpstr>Twitter_crawling code</vt:lpstr>
      <vt:lpstr>SPAM_DATA</vt:lpstr>
      <vt:lpstr>Filtering_SPAM</vt:lpstr>
      <vt:lpstr>Filtering_특정단어추출(and)</vt:lpstr>
      <vt:lpstr>Filtering_특정단어추출(or)</vt:lpstr>
      <vt:lpstr>input output csv files</vt:lpstr>
      <vt:lpstr>빈도분석 결과 </vt:lpstr>
      <vt:lpstr>빈도분석결과_매크로포함</vt:lpstr>
      <vt:lpstr>결과분석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ATIV</dc:creator>
  <cp:lastModifiedBy>ATIV</cp:lastModifiedBy>
  <dcterms:created xsi:type="dcterms:W3CDTF">2019-05-07T09:22:58Z</dcterms:created>
  <dcterms:modified xsi:type="dcterms:W3CDTF">2019-06-09T11:33:36Z</dcterms:modified>
</cp:coreProperties>
</file>